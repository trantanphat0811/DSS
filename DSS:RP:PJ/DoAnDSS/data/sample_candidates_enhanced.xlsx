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hidePivotFieldList="1" defaultThemeVersion="202300"/>
  <mc:AlternateContent xmlns:mc="http://schemas.openxmlformats.org/markup-compatibility/2006">
    <mc:Choice Requires="x15">
      <x15ac:absPath xmlns:x15ac="http://schemas.microsoft.com/office/spreadsheetml/2010/11/ac" url="/Users/trantanphat/Documents/Python/DSS/DSS:RP:PJ/DoAnDSS/data/"/>
    </mc:Choice>
  </mc:AlternateContent>
  <xr:revisionPtr revIDLastSave="0" documentId="13_ncr:1_{5A63D7BE-156E-B349-8C84-556197B1D782}" xr6:coauthVersionLast="47" xr6:coauthVersionMax="47" xr10:uidLastSave="{00000000-0000-0000-0000-000000000000}"/>
  <bookViews>
    <workbookView xWindow="-20" yWindow="500" windowWidth="28800" windowHeight="15960" xr2:uid="{18F60611-BAAA-6248-A267-8336458217A3}"/>
  </bookViews>
  <sheets>
    <sheet name="Dashboard" sheetId="3" r:id="rId1"/>
    <sheet name="Sheet3" sheetId="6" r:id="rId2"/>
    <sheet name="Sheet4" sheetId="7" r:id="rId3"/>
    <sheet name="sample_candidates_enhanced" sheetId="1" r:id="rId4"/>
  </sheets>
  <definedNames>
    <definedName name="Slicer_years_experience">#N/A</definedName>
  </definedNames>
  <calcPr calcId="191029"/>
  <pivotCaches>
    <pivotCache cacheId="36"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1"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alcChain>
</file>

<file path=xl/sharedStrings.xml><?xml version="1.0" encoding="utf-8"?>
<sst xmlns="http://schemas.openxmlformats.org/spreadsheetml/2006/main" count="5048" uniqueCount="3006">
  <si>
    <t>candidate_id</t>
  </si>
  <si>
    <t>years_experience</t>
  </si>
  <si>
    <t>education_level</t>
  </si>
  <si>
    <t>skills</t>
  </si>
  <si>
    <t>experience_description</t>
  </si>
  <si>
    <t>position_applied</t>
  </si>
  <si>
    <t>suitable</t>
  </si>
  <si>
    <t>CAND_0001</t>
  </si>
  <si>
    <t>bachelor</t>
  </si>
  <si>
    <t>adaptability, communication, problem solving, microservices, aws</t>
  </si>
  <si>
    <t>Experienced fullstack developer with 2 years working with adaptability, communication, problem solving</t>
  </si>
  <si>
    <t>fullstack_developer</t>
  </si>
  <si>
    <t>CAND_0002</t>
  </si>
  <si>
    <t>phd</t>
  </si>
  <si>
    <t>critical thinking, communication, teamwork, prototyping, html, design</t>
  </si>
  <si>
    <t>Experienced designer with 9 years working with critical thinking, communication, teamwork</t>
  </si>
  <si>
    <t>designer</t>
  </si>
  <si>
    <t>CAND_0003</t>
  </si>
  <si>
    <t>adaptability, communication, excel, business intelligence, process modeling, sql</t>
  </si>
  <si>
    <t>Experienced business analyst with 0 years working with adaptability, communication, excel</t>
  </si>
  <si>
    <t>business_analyst</t>
  </si>
  <si>
    <t>CAND_0004</t>
  </si>
  <si>
    <t>master</t>
  </si>
  <si>
    <t>python, communication, docker, c#, programming, problem solving, javascript</t>
  </si>
  <si>
    <t>Experienced software developer with 2 years working with python, communication, docker</t>
  </si>
  <si>
    <t>software_developer</t>
  </si>
  <si>
    <t>CAND_0005</t>
  </si>
  <si>
    <t>project management, risk management, stakeholder management, teamwork, agile, scrum, pmp</t>
  </si>
  <si>
    <t>Experienced project manager with 8 years working with project management, risk management, stakeholder management</t>
  </si>
  <si>
    <t>project_manager</t>
  </si>
  <si>
    <t>CAND_0006</t>
  </si>
  <si>
    <t>numpy, python, critical thinking, statistics, creativity, machine learning, problem solving, sql</t>
  </si>
  <si>
    <t>Experienced data scientist with 9 years working with numpy, python, critical thinking</t>
  </si>
  <si>
    <t>data_scientist</t>
  </si>
  <si>
    <t>CAND_0007</t>
  </si>
  <si>
    <t>critical thinking, time management, responsive design, webpack, vue, teamwork, javascript, html, css, figma</t>
  </si>
  <si>
    <t>Experienced frontend developer with 1 years working with critical thinking, time management, responsive design</t>
  </si>
  <si>
    <t>frontend_developer</t>
  </si>
  <si>
    <t>CAND_0008</t>
  </si>
  <si>
    <t>high_school</t>
  </si>
  <si>
    <t>linux, communication, kubernetes, docker, jenkins, ansible, azure, monitoring</t>
  </si>
  <si>
    <t>Experienced devops engineer with 5 years working with linux, communication, kubernetes</t>
  </si>
  <si>
    <t>devops_engineer</t>
  </si>
  <si>
    <t>CAND_0009</t>
  </si>
  <si>
    <t>indesign, web design, illustrator, typography, time management, photoshop</t>
  </si>
  <si>
    <t>Experienced graphic designer with 5 years working with indesign, web design, illustrator</t>
  </si>
  <si>
    <t>graphic_designer</t>
  </si>
  <si>
    <t>CAND_0010</t>
  </si>
  <si>
    <t>problem solving, git, agile, programming</t>
  </si>
  <si>
    <t>Experienced developer with 3 years working with problem solving, git, agile</t>
  </si>
  <si>
    <t>developer</t>
  </si>
  <si>
    <t>CAND_0011</t>
  </si>
  <si>
    <t>time management, statistics, data visualization, tableau</t>
  </si>
  <si>
    <t>Experienced data analyst with 0 years working with time management, statistics, data visualization</t>
  </si>
  <si>
    <t>data_analyst</t>
  </si>
  <si>
    <t>CAND_0012</t>
  </si>
  <si>
    <t>api, communication, docker, leadership, teamwork, sql</t>
  </si>
  <si>
    <t>Experienced backend developer with 4 years working with api, communication, docker</t>
  </si>
  <si>
    <t>backend_developer</t>
  </si>
  <si>
    <t>CAND_0013</t>
  </si>
  <si>
    <t>statistics, data analysis, excel, tableau, leadership, powerbi, reporting</t>
  </si>
  <si>
    <t>Experienced analyst with 0 years working with statistics, data analysis, excel</t>
  </si>
  <si>
    <t>analyst</t>
  </si>
  <si>
    <t>CAND_0014</t>
  </si>
  <si>
    <t>leadership, communication, project management</t>
  </si>
  <si>
    <t>Experienced project manager with 0 years working with leadership, communication, project management</t>
  </si>
  <si>
    <t>CAND_0015</t>
  </si>
  <si>
    <t>critical thinking, adaptability, statistics, spark, machine learning, pytorch, scipy</t>
  </si>
  <si>
    <t>Experienced data scientist with 2 years working with critical thinking, adaptability, statistics</t>
  </si>
  <si>
    <t>CAND_0016</t>
  </si>
  <si>
    <t>html, communication, time management, typescript, vue, mongodb, php, javascript, css, nodejs</t>
  </si>
  <si>
    <t>Experienced web developer with 0 years working with html, communication, time management</t>
  </si>
  <si>
    <t>web_developer</t>
  </si>
  <si>
    <t>CAND_0017</t>
  </si>
  <si>
    <t>problem solving, machine learning, data visualization</t>
  </si>
  <si>
    <t>Experienced data analyst with 1 years working with problem solving, machine learning, data visualization</t>
  </si>
  <si>
    <t>CAND_0018</t>
  </si>
  <si>
    <t>design, teamwork</t>
  </si>
  <si>
    <t>Experienced designer with 0 years working with design, teamwork</t>
  </si>
  <si>
    <t>CAND_0019</t>
  </si>
  <si>
    <t>associate</t>
  </si>
  <si>
    <t>python, communication, time management, creativity, powerbi</t>
  </si>
  <si>
    <t>Experienced business analyst with 9 years working with python, communication, time management</t>
  </si>
  <si>
    <t>CAND_0020</t>
  </si>
  <si>
    <t>teamwork, c++, programming</t>
  </si>
  <si>
    <t>Experienced software developer with 7 years working with teamwork, c++, programming</t>
  </si>
  <si>
    <t>CAND_0021</t>
  </si>
  <si>
    <t>critical thinking, python, pandas, excel, tableau, teamwork, sql</t>
  </si>
  <si>
    <t>Experienced data analyst with 7 years working with critical thinking, python, pandas</t>
  </si>
  <si>
    <t>CAND_0022</t>
  </si>
  <si>
    <t>critical thinking, python, testing, leadership, c++, agile, javascript</t>
  </si>
  <si>
    <t>Experienced software developer with 0 years working with critical thinking, python, testing</t>
  </si>
  <si>
    <t>CAND_0023</t>
  </si>
  <si>
    <t>teamwork, webpack, typescript</t>
  </si>
  <si>
    <t>Experienced frontend developer with 7 years working with teamwork, webpack, typescript</t>
  </si>
  <si>
    <t>CAND_0024</t>
  </si>
  <si>
    <t>critical thinking, responsive design, react, vue, javascript, html, css</t>
  </si>
  <si>
    <t>Experienced frontend developer with 7 years working with critical thinking, responsive design, react</t>
  </si>
  <si>
    <t>CAND_0025</t>
  </si>
  <si>
    <t>adaptability, jira, project management, risk management, teamwork, agile</t>
  </si>
  <si>
    <t>Experienced project manager with 0 years working with adaptability, jira, project management</t>
  </si>
  <si>
    <t>CAND_0026</t>
  </si>
  <si>
    <t>adaptability, roadmap planning, creativity, analytics, teamwork, agile</t>
  </si>
  <si>
    <t>Experienced product manager with 3 years working with adaptability, roadmap planning, creativity</t>
  </si>
  <si>
    <t>product_manager</t>
  </si>
  <si>
    <t>CAND_0027</t>
  </si>
  <si>
    <t>critical thinking, ui/ux, adaptability, prototyping, design, sketch</t>
  </si>
  <si>
    <t>Experienced ui ux designer with 2 years working with critical thinking, ui/ux, adaptability</t>
  </si>
  <si>
    <t>ui_ux_designer</t>
  </si>
  <si>
    <t>CAND_0028</t>
  </si>
  <si>
    <t>critical thinking, adaptability, adobe creative suite, creativity, design</t>
  </si>
  <si>
    <t>Experienced graphic designer with 1 years working with critical thinking, adaptability, adobe creative suite</t>
  </si>
  <si>
    <t>CAND_0029</t>
  </si>
  <si>
    <t>angular, teamwork, responsive design</t>
  </si>
  <si>
    <t>Experienced frontend developer with 7 years working with angular, teamwork, responsive design</t>
  </si>
  <si>
    <t>CAND_0030</t>
  </si>
  <si>
    <t>creativity, reporting, sql</t>
  </si>
  <si>
    <t>Experienced analyst with 7 years working with creativity, reporting, sql</t>
  </si>
  <si>
    <t>CAND_0031</t>
  </si>
  <si>
    <t>critical thinking, adaptability, problem solving, postgresql, mongodb, javascript, html, css, sql</t>
  </si>
  <si>
    <t>Experienced fullstack developer with 12 years working with critical thinking, adaptability, problem solving</t>
  </si>
  <si>
    <t>CAND_0032</t>
  </si>
  <si>
    <t>api, java, docker, creativity, c#, problem solving, sql</t>
  </si>
  <si>
    <t>Experienced backend developer with 8 years working with api, java, docker</t>
  </si>
  <si>
    <t>CAND_0033</t>
  </si>
  <si>
    <t>statistics, data analysis, excel, creativity, tableau, leadership, r, sql</t>
  </si>
  <si>
    <t>Experienced analyst with 1 years working with statistics, data analysis, excel</t>
  </si>
  <si>
    <t>CAND_0034</t>
  </si>
  <si>
    <t>numpy, python, adaptability, pandas, communication, teamwork, tensorflow, scipy, sql</t>
  </si>
  <si>
    <t>Experienced data scientist with 10 years working with numpy, python, adaptability</t>
  </si>
  <si>
    <t>CAND_0035</t>
  </si>
  <si>
    <t>critical thinking, creativity, excel, teamwork, sql</t>
  </si>
  <si>
    <t>Experienced business analyst with 9 years working with critical thinking, creativity, excel</t>
  </si>
  <si>
    <t>CAND_0036</t>
  </si>
  <si>
    <t>project management, creativity, problem solving, teamwork, agile</t>
  </si>
  <si>
    <t>Experienced project manager with 0 years working with project management, creativity, problem solving</t>
  </si>
  <si>
    <t>CAND_0037</t>
  </si>
  <si>
    <t>adaptability, jira, time management, leadership, problem solving, scrum</t>
  </si>
  <si>
    <t>Experienced project manager with 4 years working with adaptability, jira, time management</t>
  </si>
  <si>
    <t>CAND_0038</t>
  </si>
  <si>
    <t>adaptability, leadership, teamwork, monitoring, hyper-v</t>
  </si>
  <si>
    <t>Experienced system administrator with 9 years working with adaptability, leadership, teamwork</t>
  </si>
  <si>
    <t>system_administrator</t>
  </si>
  <si>
    <t>CAND_0039</t>
  </si>
  <si>
    <t>creativity, tableau, problem solving, teamwork, process modeling</t>
  </si>
  <si>
    <t>Experienced business analyst with 5 years working with creativity, tableau, problem solving</t>
  </si>
  <si>
    <t>CAND_0040</t>
  </si>
  <si>
    <t>communication, time management, c#, programming, problem solving, c++</t>
  </si>
  <si>
    <t>Experienced software developer with 11 years working with communication, time management, c#</t>
  </si>
  <si>
    <t>CAND_0041</t>
  </si>
  <si>
    <t>critical thinking, leadership, problem solving, r, sql</t>
  </si>
  <si>
    <t>Experienced analyst with 1 years working with critical thinking, leadership, problem solving</t>
  </si>
  <si>
    <t>CAND_0042</t>
  </si>
  <si>
    <t>linux, docker, ansible, teamwork, azure, terraform</t>
  </si>
  <si>
    <t>Experienced devops engineer with 0 years working with linux, docker, ansible</t>
  </si>
  <si>
    <t>CAND_0043</t>
  </si>
  <si>
    <t>adaptability, communication, project management, leadership, scrum</t>
  </si>
  <si>
    <t>Experienced project manager with 7 years working with adaptability, communication, project management</t>
  </si>
  <si>
    <t>CAND_0044</t>
  </si>
  <si>
    <t>critical thinking, ui/ux, time management, problem solving, prototyping, design</t>
  </si>
  <si>
    <t>Experienced designer with 4 years working with critical thinking, ui/ux, time management</t>
  </si>
  <si>
    <t>CAND_0045</t>
  </si>
  <si>
    <t>critical thinking, linux, communication, windows, problem solving</t>
  </si>
  <si>
    <t>Experienced system administrator with 0 years working with critical thinking, linux, communication</t>
  </si>
  <si>
    <t>CAND_0046</t>
  </si>
  <si>
    <t>python, communication, excel, data visualization, machine learning, r, sql</t>
  </si>
  <si>
    <t>Experienced data analyst with 1 years working with python, communication, excel</t>
  </si>
  <si>
    <t>CAND_0047</t>
  </si>
  <si>
    <t>adaptability, react, creativity</t>
  </si>
  <si>
    <t>Experienced frontend developer with 7 years working with adaptability, react, creativity</t>
  </si>
  <si>
    <t>CAND_0048</t>
  </si>
  <si>
    <t>pandas, time management, excel, problem solving, teamwork, powerbi, sql</t>
  </si>
  <si>
    <t>Experienced data analyst with 8 years working with pandas, time management, excel</t>
  </si>
  <si>
    <t>CAND_0049</t>
  </si>
  <si>
    <t>adaptability, communication, adobe creative suite, teamwork, html, css</t>
  </si>
  <si>
    <t>Experienced designer with 6 years working with adaptability, communication, adobe creative suite</t>
  </si>
  <si>
    <t>CAND_0050</t>
  </si>
  <si>
    <t>communication, statistics, excel, data visualization, machine learning, leadership, sql</t>
  </si>
  <si>
    <t>Experienced data analyst with 4 years working with communication, statistics, excel</t>
  </si>
  <si>
    <t>CAND_0051</t>
  </si>
  <si>
    <t>html, adaptability, mongodb, php, javascript, angular, css</t>
  </si>
  <si>
    <t>Experienced web developer with 2 years working with html, adaptability, mongodb</t>
  </si>
  <si>
    <t>CAND_0052</t>
  </si>
  <si>
    <t>linux, docker, problem solving, azure, monitoring, prometheus, aws</t>
  </si>
  <si>
    <t>Experienced devops engineer with 0 years working with linux, docker, problem solving</t>
  </si>
  <si>
    <t>CAND_0053</t>
  </si>
  <si>
    <t>linux, windows, bash, security, networking, teamwork</t>
  </si>
  <si>
    <t>Experienced system administrator with 1 years working with linux, windows, bash</t>
  </si>
  <si>
    <t>CAND_0054</t>
  </si>
  <si>
    <t>python, time management, data analysis, excel, tableau, problem solving, teamwork, reporting</t>
  </si>
  <si>
    <t>Experienced analyst with 10 years working with python, time management, data analysis</t>
  </si>
  <si>
    <t>CAND_0055</t>
  </si>
  <si>
    <t>content writing, communication, content strategy, creativity, analytics, leadership, problem solving, video editing</t>
  </si>
  <si>
    <t>Experienced content creator with 5 years working with content writing, communication, content strategy</t>
  </si>
  <si>
    <t>content_creator</t>
  </si>
  <si>
    <t>CAND_0056</t>
  </si>
  <si>
    <t>communication, teamwork, mongodb, php, angular</t>
  </si>
  <si>
    <t>Experienced web developer with 0 years working with communication, teamwork, mongodb</t>
  </si>
  <si>
    <t>CAND_0057</t>
  </si>
  <si>
    <t>python, communication, time management, c#, git, agile</t>
  </si>
  <si>
    <t>Experienced software developer with 5 years working with python, communication, time management</t>
  </si>
  <si>
    <t>CAND_0058</t>
  </si>
  <si>
    <t>critical thinking, illustrator, indesign, adobe creative suite, creativity, photoshop, problem solving, design</t>
  </si>
  <si>
    <t>Experienced graphic designer with 2 years working with critical thinking, illustrator, indesign</t>
  </si>
  <si>
    <t>CAND_0059</t>
  </si>
  <si>
    <t>digital marketing, communication, email marketing, sem, time management, teamwork</t>
  </si>
  <si>
    <t>Experienced digital marketer with 1 years working with digital marketing, communication, email marketing</t>
  </si>
  <si>
    <t>digital_marketer</t>
  </si>
  <si>
    <t>CAND_0060</t>
  </si>
  <si>
    <t>swift, java, time management, creativity, firebase, leadership</t>
  </si>
  <si>
    <t>Experienced mobile developer with 9 years working with swift, java, time management</t>
  </si>
  <si>
    <t>mobile_developer</t>
  </si>
  <si>
    <t>CAND_0061</t>
  </si>
  <si>
    <t>creativity, react, postgresql, javascript, html, css, aws, sql</t>
  </si>
  <si>
    <t>Experienced fullstack developer with 7 years working with creativity, react, postgresql</t>
  </si>
  <si>
    <t>CAND_0062</t>
  </si>
  <si>
    <t>critical thinking, python, java, time management, programming, agile</t>
  </si>
  <si>
    <t>Experienced software developer with 2 years working with critical thinking, python, java</t>
  </si>
  <si>
    <t>CAND_0063</t>
  </si>
  <si>
    <t>critical thinking, adaptability, testing, quality assurance, selenium, bug tracking</t>
  </si>
  <si>
    <t>Experienced qa engineer with 1 years working with critical thinking, adaptability, testing</t>
  </si>
  <si>
    <t>qa_engineer</t>
  </si>
  <si>
    <t>CAND_0064</t>
  </si>
  <si>
    <t>testing, creativity, leadership, teamwork, quality assurance, selenium, security testing, ci/cd, automation testing</t>
  </si>
  <si>
    <t>Experienced qa engineer with 1 years working with testing, creativity, leadership</t>
  </si>
  <si>
    <t>CAND_0065</t>
  </si>
  <si>
    <t>python, time management, data visualization, tableau, machine learning, leadership, powerbi</t>
  </si>
  <si>
    <t>Experienced data analyst with 1 years working with python, time management, data visualization</t>
  </si>
  <si>
    <t>CAND_0066</t>
  </si>
  <si>
    <t>problem solving, typescript</t>
  </si>
  <si>
    <t>Experienced web developer with 3 years working with problem solving, typescript</t>
  </si>
  <si>
    <t>CAND_0067</t>
  </si>
  <si>
    <t>critical thinking, time management, excel, problem solving, powerbi, r, process modeling, sql</t>
  </si>
  <si>
    <t>Experienced business analyst with 1 years working with critical thinking, time management, excel</t>
  </si>
  <si>
    <t>CAND_0068</t>
  </si>
  <si>
    <t>mobile, time management, app store</t>
  </si>
  <si>
    <t>Experienced mobile developer with 4 years working with mobile, time management, app store</t>
  </si>
  <si>
    <t>CAND_0069</t>
  </si>
  <si>
    <t>ui/ux, problem solving, prototyping, wireframing, design, figma</t>
  </si>
  <si>
    <t>Experienced ui ux designer with 10 years working with ui/ux, problem solving, prototyping</t>
  </si>
  <si>
    <t>CAND_0070</t>
  </si>
  <si>
    <t>digital marketing, communication</t>
  </si>
  <si>
    <t>Experienced digital marketer with 6 years working with digital marketing, communication</t>
  </si>
  <si>
    <t>CAND_0071</t>
  </si>
  <si>
    <t>adaptability, react, vue, javascript, html, css, figma</t>
  </si>
  <si>
    <t>Experienced frontend developer with 10 years working with adaptability, react, vue</t>
  </si>
  <si>
    <t>CAND_0072</t>
  </si>
  <si>
    <t>time management, monitoring, leadership, creativity</t>
  </si>
  <si>
    <t>Experienced system administrator with 9 years working with time management, monitoring, leadership</t>
  </si>
  <si>
    <t>CAND_0073</t>
  </si>
  <si>
    <t>creativity, technical skills</t>
  </si>
  <si>
    <t>Experienced product manager with 10 years working with creativity, technical skills</t>
  </si>
  <si>
    <t>CAND_0074</t>
  </si>
  <si>
    <t>graphic design, content writing, communication</t>
  </si>
  <si>
    <t>Experienced content creator with 7 years working with graphic design, content writing, communication</t>
  </si>
  <si>
    <t>CAND_0075</t>
  </si>
  <si>
    <t>communication, testing, creativity, leadership, agile</t>
  </si>
  <si>
    <t>Experienced developer with 1 years working with communication, testing, creativity</t>
  </si>
  <si>
    <t>CAND_0076</t>
  </si>
  <si>
    <t>adaptability, time management, a/b testing</t>
  </si>
  <si>
    <t>Experienced product manager with 8 years working with adaptability, time management, a/b testing</t>
  </si>
  <si>
    <t>CAND_0077</t>
  </si>
  <si>
    <t>problem solving, leadership</t>
  </si>
  <si>
    <t>Experienced business analyst with 4 years working with problem solving, leadership</t>
  </si>
  <si>
    <t>CAND_0078</t>
  </si>
  <si>
    <t>creativity, excel, business intelligence, sql</t>
  </si>
  <si>
    <t>Experienced business analyst with 8 years working with creativity, excel, business intelligence</t>
  </si>
  <si>
    <t>CAND_0079</t>
  </si>
  <si>
    <t>adaptability, communication, responsive design, react, webpack, vue, teamwork, javascript, html, css, figma</t>
  </si>
  <si>
    <t>Experienced frontend developer with 0 years working with adaptability, communication, responsive design</t>
  </si>
  <si>
    <t>CAND_0080</t>
  </si>
  <si>
    <t>linux, docker, time management, ansible, leadership</t>
  </si>
  <si>
    <t>Experienced devops engineer with 11 years working with linux, docker, time management</t>
  </si>
  <si>
    <t>CAND_0081</t>
  </si>
  <si>
    <t>communication, user research, analytics, teamwork, product management, wireframing</t>
  </si>
  <si>
    <t>Experienced product manager with 5 years working with communication, user research, analytics</t>
  </si>
  <si>
    <t>CAND_0082</t>
  </si>
  <si>
    <t>python, pandas, statistics, excel, data visualization, problem solving, leadership, sql</t>
  </si>
  <si>
    <t>Experienced data analyst with 0 years working with python, pandas, statistics</t>
  </si>
  <si>
    <t>CAND_0083</t>
  </si>
  <si>
    <t>critical thinking, teamwork, javascript, html, css, sass</t>
  </si>
  <si>
    <t>Experienced frontend developer with 1 years working with critical thinking, teamwork, javascript</t>
  </si>
  <si>
    <t>CAND_0084</t>
  </si>
  <si>
    <t>critical thinking, react native, communication, google play, kotlin, problem solving, app store</t>
  </si>
  <si>
    <t>Experienced mobile developer with 9 years working with critical thinking, react native, communication</t>
  </si>
  <si>
    <t>CAND_0085</t>
  </si>
  <si>
    <t>creativity</t>
  </si>
  <si>
    <t>Experienced fullstack developer with 6 years working with creativity</t>
  </si>
  <si>
    <t>CAND_0086</t>
  </si>
  <si>
    <t>critical thinking, adaptability, agile, project management</t>
  </si>
  <si>
    <t>Experienced project manager with 8 years working with critical thinking, adaptability, agile</t>
  </si>
  <si>
    <t>CAND_0087</t>
  </si>
  <si>
    <t>statistics, communication</t>
  </si>
  <si>
    <t>Experienced data scientist with 9 years working with statistics, communication</t>
  </si>
  <si>
    <t>CAND_0088</t>
  </si>
  <si>
    <t>time management, creativity, excel, machine learning, sql</t>
  </si>
  <si>
    <t>Experienced data analyst with 4 years working with time management, creativity, excel</t>
  </si>
  <si>
    <t>CAND_0089</t>
  </si>
  <si>
    <t>critical thinking, content writing, communication, content strategy, creativity, problem solving, wordpress, social media</t>
  </si>
  <si>
    <t>Experienced content creator with 4 years working with critical thinking, content writing, communication</t>
  </si>
  <si>
    <t>CAND_0090</t>
  </si>
  <si>
    <t>critical thinking, communication, project management, stakeholder management, leadership, agile, confluence</t>
  </si>
  <si>
    <t>Experienced project manager with 10 years working with critical thinking, communication, project management</t>
  </si>
  <si>
    <t>CAND_0091</t>
  </si>
  <si>
    <t>digital marketing, seo, time management, creativity, analytics, facebook ads, problem solving, social media</t>
  </si>
  <si>
    <t>Experienced digital marketer with 4 years working with digital marketing, seo, time management</t>
  </si>
  <si>
    <t>CAND_0092</t>
  </si>
  <si>
    <t>problem solving, ci/cd, api testing</t>
  </si>
  <si>
    <t>Experienced qa engineer with 6 years working with problem solving, ci/cd, api testing</t>
  </si>
  <si>
    <t>CAND_0093</t>
  </si>
  <si>
    <t>critical thinking, time management, git, programming</t>
  </si>
  <si>
    <t>Experienced software developer with 2 years working with critical thinking, time management, git</t>
  </si>
  <si>
    <t>CAND_0094</t>
  </si>
  <si>
    <t>communication, creativity, security, powershell, vmware</t>
  </si>
  <si>
    <t>Experienced system administrator with 6 years working with communication, creativity, security</t>
  </si>
  <si>
    <t>CAND_0095</t>
  </si>
  <si>
    <t>adaptability, communication, requirements analysis, tableau, teamwork, powerbi</t>
  </si>
  <si>
    <t>Experienced business analyst with 10 years working with adaptability, communication, requirements analysis</t>
  </si>
  <si>
    <t>CAND_0096</t>
  </si>
  <si>
    <t>python, adaptability, time management, tableau, teamwork</t>
  </si>
  <si>
    <t>Experienced analyst with 6 years working with python, adaptability, time management</t>
  </si>
  <si>
    <t>CAND_0097</t>
  </si>
  <si>
    <t>problem solving, css</t>
  </si>
  <si>
    <t>Experienced designer with 0 years working with problem solving, css</t>
  </si>
  <si>
    <t>CAND_0098</t>
  </si>
  <si>
    <t>r, communication, data visualization</t>
  </si>
  <si>
    <t>Experienced data analyst with 0 years working with r, communication, data visualization</t>
  </si>
  <si>
    <t>CAND_0099</t>
  </si>
  <si>
    <t>critical thinking, pandas, statistics, excel, data visualization, teamwork, sql</t>
  </si>
  <si>
    <t>Experienced data analyst with 5 years working with critical thinking, pandas, statistics</t>
  </si>
  <si>
    <t>CAND_0100</t>
  </si>
  <si>
    <t>communication, time management, statistics, data visualization, tableau, machine learning, problem solving, r</t>
  </si>
  <si>
    <t>Experienced data analyst with 0 years working with communication, time management, statistics</t>
  </si>
  <si>
    <t>CAND_0101</t>
  </si>
  <si>
    <t>critical thinking</t>
  </si>
  <si>
    <t>Experienced data scientist with 9 years working with critical thinking</t>
  </si>
  <si>
    <t>CAND_0102</t>
  </si>
  <si>
    <t>creativity, performance testing</t>
  </si>
  <si>
    <t>Experienced qa engineer with 0 years working with creativity, performance testing</t>
  </si>
  <si>
    <t>CAND_0103</t>
  </si>
  <si>
    <t>communication, security, networking, problem solving, teamwork, vmware</t>
  </si>
  <si>
    <t>Experienced system administrator with 9 years working with communication, security, networking</t>
  </si>
  <si>
    <t>CAND_0104</t>
  </si>
  <si>
    <t>critical thinking, adaptability, git, programming</t>
  </si>
  <si>
    <t>Experienced software developer with 0 years working with critical thinking, adaptability, git</t>
  </si>
  <si>
    <t>CAND_0105</t>
  </si>
  <si>
    <t>time management, webpack</t>
  </si>
  <si>
    <t>Experienced web developer with 4 years working with time management, webpack</t>
  </si>
  <si>
    <t>CAND_0106</t>
  </si>
  <si>
    <t>python, adaptability, kubernetes, creativity, problem solving, azure</t>
  </si>
  <si>
    <t>Experienced backend developer with 6 years working with python, adaptability, kubernetes</t>
  </si>
  <si>
    <t>CAND_0107</t>
  </si>
  <si>
    <t>communication, time management, problem solving, prototyping, design</t>
  </si>
  <si>
    <t>Experienced designer with 8 years working with communication, time management, problem solving</t>
  </si>
  <si>
    <t>CAND_0108</t>
  </si>
  <si>
    <t>critical thinking, communication, excel, leadership, sql</t>
  </si>
  <si>
    <t>Experienced business analyst with 8 years working with critical thinking, communication, excel</t>
  </si>
  <si>
    <t>CAND_0109</t>
  </si>
  <si>
    <t>print design, adaptability, leadership, typography</t>
  </si>
  <si>
    <t>Experienced graphic designer with 0 years working with print design, adaptability, leadership</t>
  </si>
  <si>
    <t>CAND_0110</t>
  </si>
  <si>
    <t>seo, communication, creativity, leadership, social media</t>
  </si>
  <si>
    <t>Experienced digital marketer with 3 years working with seo, communication, creativity</t>
  </si>
  <si>
    <t>CAND_0111</t>
  </si>
  <si>
    <t>problem solving, product management, communication, roadmap planning</t>
  </si>
  <si>
    <t>Experienced product manager with 12 years working with problem solving, product management, communication</t>
  </si>
  <si>
    <t>CAND_0112</t>
  </si>
  <si>
    <t>critical thinking, adaptability, mobile, creativity, firebase, kotlin</t>
  </si>
  <si>
    <t>Experienced mobile developer with 8 years working with critical thinking, adaptability, mobile</t>
  </si>
  <si>
    <t>CAND_0113</t>
  </si>
  <si>
    <t>critical thinking, leadership, creativity, performance testing</t>
  </si>
  <si>
    <t>Experienced qa engineer with 1 years working with critical thinking, leadership, creativity</t>
  </si>
  <si>
    <t>CAND_0114</t>
  </si>
  <si>
    <t>critical thinking, communication, data visualization, machine learning, r</t>
  </si>
  <si>
    <t>Experienced data analyst with 7 years working with critical thinking, communication, data visualization</t>
  </si>
  <si>
    <t>CAND_0115</t>
  </si>
  <si>
    <t>digital marketing, adaptability, email marketing, teamwork, social media</t>
  </si>
  <si>
    <t>Experienced digital marketer with 5 years working with digital marketing, adaptability, email marketing</t>
  </si>
  <si>
    <t>CAND_0116</t>
  </si>
  <si>
    <t>adaptability, api, problem solving, php, nodejs, sql</t>
  </si>
  <si>
    <t>Experienced backend developer with 3 years working with adaptability, api, problem solving</t>
  </si>
  <si>
    <t>CAND_0117</t>
  </si>
  <si>
    <t>communication, copywriting, content strategy, problem solving, teamwork, wordpress, social media</t>
  </si>
  <si>
    <t>Experienced content creator with 10 years working with communication, copywriting, content strategy</t>
  </si>
  <si>
    <t>CAND_0118</t>
  </si>
  <si>
    <t>problem solving, leadership, prototyping</t>
  </si>
  <si>
    <t>Experienced designer with 5 years working with problem solving, leadership, prototyping</t>
  </si>
  <si>
    <t>CAND_0119</t>
  </si>
  <si>
    <t>python, communication, statistics, excel, tableau, machine learning, problem solving, teamwork, sql</t>
  </si>
  <si>
    <t>Experienced data analyst with 0 years working with python, communication, statistics</t>
  </si>
  <si>
    <t>CAND_0120</t>
  </si>
  <si>
    <t>seo, adaptability, leadership, teamwork, video editing</t>
  </si>
  <si>
    <t>Experienced content creator with 6 years working with seo, adaptability, leadership</t>
  </si>
  <si>
    <t>CAND_0121</t>
  </si>
  <si>
    <t>teamwork</t>
  </si>
  <si>
    <t>Experienced data analyst with 4 years working with teamwork</t>
  </si>
  <si>
    <t>CAND_0122</t>
  </si>
  <si>
    <t>mobile, creativity, communication</t>
  </si>
  <si>
    <t>Experienced mobile developer with 0 years working with mobile, creativity, communication</t>
  </si>
  <si>
    <t>CAND_0123</t>
  </si>
  <si>
    <t>teamwork, time management, linux, windows</t>
  </si>
  <si>
    <t>Experienced system administrator with 7 years working with teamwork, time management, linux</t>
  </si>
  <si>
    <t>CAND_0124</t>
  </si>
  <si>
    <t>swift, java, mobile, creativity, flutter</t>
  </si>
  <si>
    <t>Experienced mobile developer with 1 years working with swift, java, mobile</t>
  </si>
  <si>
    <t>CAND_0125</t>
  </si>
  <si>
    <t>communication, excel, leadership, agile, sql</t>
  </si>
  <si>
    <t>Experienced business analyst with 6 years working with communication, excel, leadership</t>
  </si>
  <si>
    <t>CAND_0126</t>
  </si>
  <si>
    <t>communication</t>
  </si>
  <si>
    <t>Experienced data scientist with 11 years working with communication</t>
  </si>
  <si>
    <t>CAND_0127</t>
  </si>
  <si>
    <t>Experienced project manager with 2 years working with creativity</t>
  </si>
  <si>
    <t>CAND_0128</t>
  </si>
  <si>
    <t>communication, kubernetes, creativity, jenkins, teamwork, terraform, prometheus, aws</t>
  </si>
  <si>
    <t>Experienced devops engineer with 3 years working with communication, kubernetes, creativity</t>
  </si>
  <si>
    <t>CAND_0129</t>
  </si>
  <si>
    <t>teamwork, webpack, sass, communication</t>
  </si>
  <si>
    <t>Experienced frontend developer with 8 years working with teamwork, webpack, sass</t>
  </si>
  <si>
    <t>CAND_0130</t>
  </si>
  <si>
    <t>critical thinking, creativity, javascript, html, css, sql</t>
  </si>
  <si>
    <t>Experienced fullstack developer with 2 years working with critical thinking, creativity, javascript</t>
  </si>
  <si>
    <t>CAND_0131</t>
  </si>
  <si>
    <t>digital marketing, seo, sem, creativity, social media, content marketing</t>
  </si>
  <si>
    <t>Experienced digital marketer with 9 years working with digital marketing, seo, sem</t>
  </si>
  <si>
    <t>CAND_0132</t>
  </si>
  <si>
    <t>communication, technical skills, analytics, teamwork, product management, agile</t>
  </si>
  <si>
    <t>Experienced product manager with 2 years working with communication, technical skills, analytics</t>
  </si>
  <si>
    <t>CAND_0133</t>
  </si>
  <si>
    <t>critical thinking, docker, time management, react, teamwork</t>
  </si>
  <si>
    <t>Experienced fullstack developer with 0 years working with critical thinking, docker, time management</t>
  </si>
  <si>
    <t>CAND_0134</t>
  </si>
  <si>
    <t>photoshop, time management, illustrator</t>
  </si>
  <si>
    <t>Experienced graphic designer with 5 years working with photoshop, time management, illustrator</t>
  </si>
  <si>
    <t>CAND_0135</t>
  </si>
  <si>
    <t>critical thinking, python, time management, creativity, javascript, html, css, sql</t>
  </si>
  <si>
    <t>Experienced fullstack developer with 11 years working with critical thinking, python, time management</t>
  </si>
  <si>
    <t>CAND_0136</t>
  </si>
  <si>
    <t>digital marketing, problem solving, content marketing</t>
  </si>
  <si>
    <t>Experienced digital marketer with 2 years working with digital marketing, problem solving, content marketing</t>
  </si>
  <si>
    <t>CAND_0137</t>
  </si>
  <si>
    <t>communication, security, networking, problem solving, powershell, active directory</t>
  </si>
  <si>
    <t>Experienced system administrator with 0 years working with communication, security, networking</t>
  </si>
  <si>
    <t>CAND_0138</t>
  </si>
  <si>
    <t>adaptability, communication, react, javascript, html, angular, css, nodejs</t>
  </si>
  <si>
    <t>Experienced web developer with 5 years working with adaptability, communication, react</t>
  </si>
  <si>
    <t>CAND_0139</t>
  </si>
  <si>
    <t>critical thinking, google ads</t>
  </si>
  <si>
    <t>Experienced digital marketer with 8 years working with critical thinking, google ads</t>
  </si>
  <si>
    <t>CAND_0140</t>
  </si>
  <si>
    <t>content writing, communication, time management, creativity, problem solving, wordpress, social media, video editing</t>
  </si>
  <si>
    <t>Experienced content creator with 1 years working with content writing, communication, time management</t>
  </si>
  <si>
    <t>CAND_0141</t>
  </si>
  <si>
    <t>api testing, leadership, teamwork, selenium, ci/cd, bug tracking</t>
  </si>
  <si>
    <t>Experienced qa engineer with 1 years working with api testing, leadership, teamwork</t>
  </si>
  <si>
    <t>CAND_0142</t>
  </si>
  <si>
    <t>linux, docker, creativity, ansible, teamwork, terraform</t>
  </si>
  <si>
    <t>Experienced devops engineer with 3 years working with linux, docker, creativity</t>
  </si>
  <si>
    <t>CAND_0143</t>
  </si>
  <si>
    <t>ui/ux, adobe creative suite, problem solving, teamwork, prototyping, design</t>
  </si>
  <si>
    <t>Experienced designer with 9 years working with ui/ux, adobe creative suite, problem solving</t>
  </si>
  <si>
    <t>CAND_0144</t>
  </si>
  <si>
    <t>linux, adaptability, communication, windows, bash, vmware, networking, powershell, monitoring</t>
  </si>
  <si>
    <t>Experienced system administrator with 10 years working with linux, adaptability, communication</t>
  </si>
  <si>
    <t>CAND_0145</t>
  </si>
  <si>
    <t>digital marketing, seo, email marketing, time management, analytics, social media</t>
  </si>
  <si>
    <t>Experienced digital marketer with 1 years working with digital marketing, seo, email marketing</t>
  </si>
  <si>
    <t>CAND_0146</t>
  </si>
  <si>
    <t>problem solving</t>
  </si>
  <si>
    <t>Experienced fullstack developer with 3 years working with problem solving</t>
  </si>
  <si>
    <t>CAND_0147</t>
  </si>
  <si>
    <t>communication, creativity, typescript, vue, sass</t>
  </si>
  <si>
    <t>Experienced frontend developer with 1 years working with communication, creativity, typescript</t>
  </si>
  <si>
    <t>CAND_0148</t>
  </si>
  <si>
    <t>critical thinking, communication, analytics, teamwork, product management, agile, sql</t>
  </si>
  <si>
    <t>Experienced product manager with 9 years working with critical thinking, communication, analytics</t>
  </si>
  <si>
    <t>CAND_0149</t>
  </si>
  <si>
    <t>communication, technical skills, time management, leadership, sql</t>
  </si>
  <si>
    <t>Experienced product manager with 11 years working with communication, technical skills, time management</t>
  </si>
  <si>
    <t>CAND_0150</t>
  </si>
  <si>
    <t>communication, adobe creative suite, problem solving, prototyping, wireframing, sketch, css</t>
  </si>
  <si>
    <t>Experienced ui ux designer with 8 years working with communication, adobe creative suite, problem solving</t>
  </si>
  <si>
    <t>CAND_0151</t>
  </si>
  <si>
    <t>Experienced data analyst with 3 years working with statistics, communication</t>
  </si>
  <si>
    <t>CAND_0152</t>
  </si>
  <si>
    <t>sem, critical thinking, facebook ads, communication</t>
  </si>
  <si>
    <t>Experienced digital marketer with 9 years working with sem, critical thinking, facebook ads</t>
  </si>
  <si>
    <t>CAND_0153</t>
  </si>
  <si>
    <t>leadership, adaptability, react</t>
  </si>
  <si>
    <t>Experienced frontend developer with 1 years working with leadership, adaptability, react</t>
  </si>
  <si>
    <t>CAND_0154</t>
  </si>
  <si>
    <t>python, excel, leadership, sql</t>
  </si>
  <si>
    <t>Experienced data analyst with 1 years working with python, excel, leadership</t>
  </si>
  <si>
    <t>CAND_0155</t>
  </si>
  <si>
    <t>adaptability, performance testing, leadership, security testing, automation testing, bug tracking</t>
  </si>
  <si>
    <t>Experienced qa engineer with 0 years working with adaptability, performance testing, leadership</t>
  </si>
  <si>
    <t>CAND_0156</t>
  </si>
  <si>
    <t>r, adaptability, excel, sql</t>
  </si>
  <si>
    <t>Experienced business analyst with 9 years working with r, adaptability, excel</t>
  </si>
  <si>
    <t>CAND_0157</t>
  </si>
  <si>
    <t>time management, excel, machine learning, powerbi, sql</t>
  </si>
  <si>
    <t>Experienced data analyst with 6 years working with time management, excel, machine learning</t>
  </si>
  <si>
    <t>CAND_0158</t>
  </si>
  <si>
    <t>python, requirements analysis, excel, problem solving, teamwork, leadership, powerbi, r, sql</t>
  </si>
  <si>
    <t>Experienced business analyst with 0 years working with python, requirements analysis, excel</t>
  </si>
  <si>
    <t>CAND_0159</t>
  </si>
  <si>
    <t>adaptability, mobile, creativity, kotlin, problem solving, flutter, app store</t>
  </si>
  <si>
    <t>Experienced mobile developer with 8 years working with adaptability, mobile, creativity</t>
  </si>
  <si>
    <t>CAND_0160</t>
  </si>
  <si>
    <t>react native, java, google play, teamwork, flutter</t>
  </si>
  <si>
    <t>Experienced mobile developer with 0 years working with react native, java, google play</t>
  </si>
  <si>
    <t>CAND_0161</t>
  </si>
  <si>
    <t>critical thinking, swift, java, time management, firebase, flutter, app store</t>
  </si>
  <si>
    <t>Experienced mobile developer with 1 years working with critical thinking, swift, java</t>
  </si>
  <si>
    <t>CAND_0162</t>
  </si>
  <si>
    <t>python, adaptability, java, docker, time management</t>
  </si>
  <si>
    <t>Experienced software developer with 1 years working with python, adaptability, java</t>
  </si>
  <si>
    <t>CAND_0163</t>
  </si>
  <si>
    <t>api, docker, teamwork, nodejs, sql</t>
  </si>
  <si>
    <t>Experienced backend developer with 1 years working with api, docker, teamwork</t>
  </si>
  <si>
    <t>CAND_0164</t>
  </si>
  <si>
    <t>microservices, teamwork</t>
  </si>
  <si>
    <t>Experienced backend developer with 0 years working with microservices, teamwork</t>
  </si>
  <si>
    <t>CAND_0165</t>
  </si>
  <si>
    <t>communication, problem solving, teamwork, microservices, nodejs</t>
  </si>
  <si>
    <t>Experienced fullstack developer with 9 years working with communication, problem solving, teamwork</t>
  </si>
  <si>
    <t>CAND_0166</t>
  </si>
  <si>
    <t>numpy, critical thinking, communication, statistics, problem solving, tensorflow, scipy</t>
  </si>
  <si>
    <t>Experienced data scientist with 2 years working with numpy, critical thinking, communication</t>
  </si>
  <si>
    <t>CAND_0167</t>
  </si>
  <si>
    <t>time management, mongodb, javascript, html, css, postgresql</t>
  </si>
  <si>
    <t>Experienced web developer with 4 years working with time management, mongodb, javascript</t>
  </si>
  <si>
    <t>CAND_0168</t>
  </si>
  <si>
    <t>adaptability, time management, analytics, facebook ads, problem solving, google ads</t>
  </si>
  <si>
    <t>Experienced digital marketer with 6 years working with adaptability, time management, analytics</t>
  </si>
  <si>
    <t>CAND_0169</t>
  </si>
  <si>
    <t>adaptability, excel, agile, r, sql</t>
  </si>
  <si>
    <t>Experienced business analyst with 7 years working with adaptability, excel, agile</t>
  </si>
  <si>
    <t>CAND_0170</t>
  </si>
  <si>
    <t>react native, mobile, firebase, kotlin, leadership, teamwork, push notifications, flutter</t>
  </si>
  <si>
    <t>Experienced mobile developer with 10 years working with react native, mobile, firebase</t>
  </si>
  <si>
    <t>CAND_0171</t>
  </si>
  <si>
    <t>critical thinking, docker, time management, teamwork, javascript, html, css, sql</t>
  </si>
  <si>
    <t>Experienced fullstack developer with 7 years working with critical thinking, docker, time management</t>
  </si>
  <si>
    <t>CAND_0172</t>
  </si>
  <si>
    <t>adaptability, communication, vue, leadership, javascript, html, angular, css, figma</t>
  </si>
  <si>
    <t>Experienced frontend developer with 4 years working with adaptability, communication, vue</t>
  </si>
  <si>
    <t>CAND_0173</t>
  </si>
  <si>
    <t>critical thinking, linux, docker, problem solving, leadership</t>
  </si>
  <si>
    <t>Experienced devops engineer with 8 years working with critical thinking, linux, docker</t>
  </si>
  <si>
    <t>CAND_0174</t>
  </si>
  <si>
    <t>indesign, communication, adobe creative suite, branding, photoshop, design</t>
  </si>
  <si>
    <t>Experienced graphic designer with 4 years working with indesign, communication, adobe creative suite</t>
  </si>
  <si>
    <t>CAND_0175</t>
  </si>
  <si>
    <t>illustrator, indesign, adobe creative suite, color theory, creativity, branding, print design, design</t>
  </si>
  <si>
    <t>Experienced graphic designer with 1 years working with illustrator, indesign, adobe creative suite</t>
  </si>
  <si>
    <t>CAND_0176</t>
  </si>
  <si>
    <t>time management, user research, communication, roadmap planning</t>
  </si>
  <si>
    <t>Experienced product manager with 1 years working with time management, user research, communication</t>
  </si>
  <si>
    <t>CAND_0177</t>
  </si>
  <si>
    <t>leadership, creativity, illustrator, indesign</t>
  </si>
  <si>
    <t>Experienced graphic designer with 6 years working with leadership, creativity, illustrator</t>
  </si>
  <si>
    <t>CAND_0178</t>
  </si>
  <si>
    <t>communication, creativity, teamwork, javascript, html, css</t>
  </si>
  <si>
    <t>Experienced web developer with 2 years working with communication, creativity, teamwork</t>
  </si>
  <si>
    <t>CAND_0179</t>
  </si>
  <si>
    <t>python, java, time management, c#, agile, ci/cd</t>
  </si>
  <si>
    <t>Experienced software developer with 0 years working with python, java, time management</t>
  </si>
  <si>
    <t>CAND_0180</t>
  </si>
  <si>
    <t>critical thinking, kubernetes, ansible, teamwork, monitoring, aws</t>
  </si>
  <si>
    <t>Experienced devops engineer with 7 years working with critical thinking, kubernetes, ansible</t>
  </si>
  <si>
    <t>CAND_0181</t>
  </si>
  <si>
    <t>hadoop, teamwork, communication, pytorch</t>
  </si>
  <si>
    <t>Experienced data scientist with 9 years working with hadoop, teamwork, communication</t>
  </si>
  <si>
    <t>CAND_0182</t>
  </si>
  <si>
    <t>photoshop, critical thinking, indesign, leadership</t>
  </si>
  <si>
    <t>Experienced graphic designer with 1 years working with photoshop, critical thinking, indesign</t>
  </si>
  <si>
    <t>CAND_0183</t>
  </si>
  <si>
    <t>creativity, excel, powerbi, r, sql</t>
  </si>
  <si>
    <t>Experienced data analyst with 8 years working with creativity, excel, powerbi</t>
  </si>
  <si>
    <t>CAND_0184</t>
  </si>
  <si>
    <t>communication, technical skills, roadmap planning, analytics, teamwork, product management, agile</t>
  </si>
  <si>
    <t>Experienced product manager with 3 years working with communication, technical skills, roadmap planning</t>
  </si>
  <si>
    <t>CAND_0185</t>
  </si>
  <si>
    <t>critical thinking, time management, java, programming</t>
  </si>
  <si>
    <t>Experienced software developer with 8 years working with critical thinking, time management, java</t>
  </si>
  <si>
    <t>CAND_0186</t>
  </si>
  <si>
    <t>creativity, firebase, leadership, teamwork, app store</t>
  </si>
  <si>
    <t>Experienced mobile developer with 9 years working with creativity, firebase, leadership</t>
  </si>
  <si>
    <t>CAND_0187</t>
  </si>
  <si>
    <t>python, adaptability, problem solving, teamwork, sql</t>
  </si>
  <si>
    <t>Experienced data scientist with 0 years working with python, adaptability, problem solving</t>
  </si>
  <si>
    <t>CAND_0188</t>
  </si>
  <si>
    <t>critical thinking, ui/ux, adobe creative suite, user research, teamwork, html, design, sketch</t>
  </si>
  <si>
    <t>Experienced ui ux designer with 0 years working with critical thinking, ui/ux, adobe creative suite</t>
  </si>
  <si>
    <t>CAND_0189</t>
  </si>
  <si>
    <t>creativity, quality assurance, performance testing, testing</t>
  </si>
  <si>
    <t>Experienced qa engineer with 4 years working with creativity, quality assurance, performance testing</t>
  </si>
  <si>
    <t>CAND_0190</t>
  </si>
  <si>
    <t>problem solving, python, adaptability</t>
  </si>
  <si>
    <t>Experienced backend developer with 5 years working with problem solving, python, adaptability</t>
  </si>
  <si>
    <t>CAND_0191</t>
  </si>
  <si>
    <t>problem solving, api, c#, sql</t>
  </si>
  <si>
    <t>Experienced backend developer with 6 years working with problem solving, api, c#</t>
  </si>
  <si>
    <t>CAND_0192</t>
  </si>
  <si>
    <t>teamwork, time management, adaptability, project management</t>
  </si>
  <si>
    <t>Experienced project manager with 1 years working with teamwork, time management, adaptability</t>
  </si>
  <si>
    <t>CAND_0193</t>
  </si>
  <si>
    <t>python, testing, java, programming, teamwork, agile, sql</t>
  </si>
  <si>
    <t>Experienced developer with 5 years working with python, testing, java</t>
  </si>
  <si>
    <t>CAND_0194</t>
  </si>
  <si>
    <t>react native, swift, java, mobile, creativity, teamwork</t>
  </si>
  <si>
    <t>Experienced mobile developer with 1 years working with react native, swift, java</t>
  </si>
  <si>
    <t>CAND_0195</t>
  </si>
  <si>
    <t>critical thinking, creativity, leadership, prototyping, sketch</t>
  </si>
  <si>
    <t>Experienced ui ux designer with 9 years working with critical thinking, creativity, leadership</t>
  </si>
  <si>
    <t>CAND_0196</t>
  </si>
  <si>
    <t>content writing, communication, time management, creativity, problem solving, wordpress</t>
  </si>
  <si>
    <t>Experienced content creator with 2 years working with content writing, communication, time management</t>
  </si>
  <si>
    <t>CAND_0197</t>
  </si>
  <si>
    <t>adaptability, api, communication, creativity, go, sql</t>
  </si>
  <si>
    <t>Experienced backend developer with 6 years working with adaptability, api, communication</t>
  </si>
  <si>
    <t>CAND_0198</t>
  </si>
  <si>
    <t>leadership, communication, confluence</t>
  </si>
  <si>
    <t>Experienced project manager with 9 years working with leadership, communication, confluence</t>
  </si>
  <si>
    <t>CAND_0199</t>
  </si>
  <si>
    <t>python, pandas, creativity, tableau, machine learning, leadership, teamwork, powerbi</t>
  </si>
  <si>
    <t>Experienced data analyst with 5 years working with python, pandas, creativity</t>
  </si>
  <si>
    <t>CAND_0200</t>
  </si>
  <si>
    <t>ui/ux, adobe creative suite, time management, teamwork, html, design, sketch, css, figma</t>
  </si>
  <si>
    <t>Experienced ui ux designer with 10 years working with ui/ux, adobe creative suite, time management</t>
  </si>
  <si>
    <t>CAND_0201</t>
  </si>
  <si>
    <t>leadership, agile, tableau</t>
  </si>
  <si>
    <t>Experienced business analyst with 0 years working with leadership, agile, tableau</t>
  </si>
  <si>
    <t>CAND_0202</t>
  </si>
  <si>
    <t>critical thinking, problem solving, excel, sql</t>
  </si>
  <si>
    <t>Experienced business analyst with 7 years working with critical thinking, problem solving, excel</t>
  </si>
  <si>
    <t>CAND_0203</t>
  </si>
  <si>
    <t>leadership, programming</t>
  </si>
  <si>
    <t>Experienced developer with 10 years working with leadership, programming</t>
  </si>
  <si>
    <t>CAND_0204</t>
  </si>
  <si>
    <t>critical thinking, communication, statistics, data analysis, excel, tableau, powerbi, sql</t>
  </si>
  <si>
    <t>Experienced analyst with 10 years working with critical thinking, communication, statistics</t>
  </si>
  <si>
    <t>CAND_0205</t>
  </si>
  <si>
    <t>adaptability, indesign, web design, typography, adobe creative suite, leadership, teamwork, design</t>
  </si>
  <si>
    <t>Experienced graphic designer with 9 years working with adaptability, indesign, web design</t>
  </si>
  <si>
    <t>CAND_0206</t>
  </si>
  <si>
    <t>vue, time management, webpack, mongodb</t>
  </si>
  <si>
    <t>Experienced web developer with 9 years working with vue, time management, webpack</t>
  </si>
  <si>
    <t>CAND_0207</t>
  </si>
  <si>
    <t>webpack, react, typescript, vue, leadership, teamwork, problem solving, javascript, html, css</t>
  </si>
  <si>
    <t>Experienced frontend developer with 1 years working with webpack, react, typescript</t>
  </si>
  <si>
    <t>CAND_0208</t>
  </si>
  <si>
    <t>communication, testing, api testing, problem solving, teamwork, manual testing, quality assurance, ci/cd, bug tracking</t>
  </si>
  <si>
    <t>Experienced qa engineer with 0 years working with communication, testing, api testing</t>
  </si>
  <si>
    <t>CAND_0209</t>
  </si>
  <si>
    <t>problem solving, time management, teamwork</t>
  </si>
  <si>
    <t>Experienced devops engineer with 2 years working with problem solving, time management, teamwork</t>
  </si>
  <si>
    <t>CAND_0210</t>
  </si>
  <si>
    <t>time management, statistics, problem solving, leadership, sql</t>
  </si>
  <si>
    <t>Experienced analyst with 9 years working with time management, statistics, problem solving</t>
  </si>
  <si>
    <t>CAND_0211</t>
  </si>
  <si>
    <t>adaptability, google play, kotlin, push notifications, flutter</t>
  </si>
  <si>
    <t>Experienced mobile developer with 6 years working with adaptability, google play, kotlin</t>
  </si>
  <si>
    <t>CAND_0212</t>
  </si>
  <si>
    <t>r, teamwork, statistics, powerbi</t>
  </si>
  <si>
    <t>Experienced analyst with 0 years working with r, teamwork, statistics</t>
  </si>
  <si>
    <t>CAND_0213</t>
  </si>
  <si>
    <t>adaptability, jira, time management, leadership, agile, confluence, scrum</t>
  </si>
  <si>
    <t>Experienced project manager with 0 years working with adaptability, jira, time management</t>
  </si>
  <si>
    <t>CAND_0214</t>
  </si>
  <si>
    <t>statistics, data analysis, excel, creativity</t>
  </si>
  <si>
    <t>Experienced analyst with 8 years working with statistics, data analysis, excel</t>
  </si>
  <si>
    <t>CAND_0215</t>
  </si>
  <si>
    <t>communication, testing, leadership, teamwork, quality assurance, automation testing</t>
  </si>
  <si>
    <t>Experienced qa engineer with 3 years working with communication, testing, leadership</t>
  </si>
  <si>
    <t>CAND_0216</t>
  </si>
  <si>
    <t>adaptability, testing, problem solving, manual testing, quality assurance, security testing</t>
  </si>
  <si>
    <t>Experienced qa engineer with 0 years working with adaptability, testing, problem solving</t>
  </si>
  <si>
    <t>CAND_0217</t>
  </si>
  <si>
    <t>communication, technical skills, time management, analytics, teamwork, product management, agile</t>
  </si>
  <si>
    <t>Experienced product manager with 5 years working with communication, technical skills, time management</t>
  </si>
  <si>
    <t>CAND_0218</t>
  </si>
  <si>
    <t>mobile, adaptability, swift, firebase</t>
  </si>
  <si>
    <t>Experienced mobile developer with 3 years working with mobile, adaptability, swift</t>
  </si>
  <si>
    <t>CAND_0219</t>
  </si>
  <si>
    <t>python, adaptability, pandas, excel, data visualization, problem solving, sql</t>
  </si>
  <si>
    <t>Experienced data analyst with 0 years working with python, adaptability, pandas</t>
  </si>
  <si>
    <t>CAND_0220</t>
  </si>
  <si>
    <t>critical thinking, web design, adobe creative suite, leadership, design</t>
  </si>
  <si>
    <t>Experienced graphic designer with 1 years working with critical thinking, web design, adobe creative suite</t>
  </si>
  <si>
    <t>CAND_0221</t>
  </si>
  <si>
    <t>critical thinking, adaptability, java, programming, teamwork, javascript</t>
  </si>
  <si>
    <t>Experienced developer with 0 years working with critical thinking, adaptability, java</t>
  </si>
  <si>
    <t>CAND_0222</t>
  </si>
  <si>
    <t>communication, performance testing, selenium, security testing, automation testing</t>
  </si>
  <si>
    <t>Experienced qa engineer with 1 years working with communication, performance testing, selenium</t>
  </si>
  <si>
    <t>CAND_0223</t>
  </si>
  <si>
    <t>critical thinking, communication, time management, statistics, machine learning</t>
  </si>
  <si>
    <t>Experienced data scientist with 3 years working with critical thinking, communication, time management</t>
  </si>
  <si>
    <t>CAND_0224</t>
  </si>
  <si>
    <t>adaptability, communication, app store, google play</t>
  </si>
  <si>
    <t>Experienced mobile developer with 9 years working with adaptability, communication, app store</t>
  </si>
  <si>
    <t>CAND_0225</t>
  </si>
  <si>
    <t>teamwork, networking, communication, adaptability</t>
  </si>
  <si>
    <t>Experienced system administrator with 1 years working with teamwork, networking, communication</t>
  </si>
  <si>
    <t>CAND_0226</t>
  </si>
  <si>
    <t>communication, creativity, excel, tableau, teamwork, sql</t>
  </si>
  <si>
    <t>Experienced business analyst with 2 years working with communication, creativity, excel</t>
  </si>
  <si>
    <t>CAND_0227</t>
  </si>
  <si>
    <t>adaptability, creativity, problem solving, javascript, html, css</t>
  </si>
  <si>
    <t>Experienced web developer with 2 years working with adaptability, creativity, problem solving</t>
  </si>
  <si>
    <t>CAND_0228</t>
  </si>
  <si>
    <t>critical thinking, microservices, creativity, nodejs</t>
  </si>
  <si>
    <t>Experienced fullstack developer with 3 years working with critical thinking, microservices, creativity</t>
  </si>
  <si>
    <t>CAND_0229</t>
  </si>
  <si>
    <t>swift, time management, kotlin, problem solving, flutter</t>
  </si>
  <si>
    <t>Experienced mobile developer with 5 years working with swift, time management, kotlin</t>
  </si>
  <si>
    <t>CAND_0230</t>
  </si>
  <si>
    <t>critical thinking, linux, communication, windows, time management, security, networking, powershell, vmware</t>
  </si>
  <si>
    <t>CAND_0231</t>
  </si>
  <si>
    <t>python, leadership, c#, programming</t>
  </si>
  <si>
    <t>Experienced software developer with 0 years working with python, leadership, c#</t>
  </si>
  <si>
    <t>CAND_0232</t>
  </si>
  <si>
    <t>stakeholder management, teamwork, risk management, project management</t>
  </si>
  <si>
    <t>Experienced project manager with 8 years working with stakeholder management, teamwork, risk management</t>
  </si>
  <si>
    <t>CAND_0233</t>
  </si>
  <si>
    <t>powerbi, critical thinking, business intelligence, tableau</t>
  </si>
  <si>
    <t>Experienced business analyst with 5 years working with powerbi, critical thinking, business intelligence</t>
  </si>
  <si>
    <t>CAND_0234</t>
  </si>
  <si>
    <t>critical thinking, microservices, teamwork</t>
  </si>
  <si>
    <t>Experienced fullstack developer with 5 years working with critical thinking, microservices, teamwork</t>
  </si>
  <si>
    <t>CAND_0235</t>
  </si>
  <si>
    <t>communication, time management, teamwork, javascript, html, angular, css</t>
  </si>
  <si>
    <t>Experienced web developer with 0 years working with communication, time management, teamwork</t>
  </si>
  <si>
    <t>CAND_0236</t>
  </si>
  <si>
    <t>python, communication, testing, programming, agile, javascript</t>
  </si>
  <si>
    <t>Experienced developer with 2 years working with python, communication, testing</t>
  </si>
  <si>
    <t>CAND_0237</t>
  </si>
  <si>
    <t>time management, leadership</t>
  </si>
  <si>
    <t>Experienced developer with 5 years working with time management, leadership</t>
  </si>
  <si>
    <t>CAND_0238</t>
  </si>
  <si>
    <t>critical thinking, linux, communication, docker, gitlab ci, jenkins</t>
  </si>
  <si>
    <t>Experienced devops engineer with 8 years working with critical thinking, linux, communication</t>
  </si>
  <si>
    <t>CAND_0239</t>
  </si>
  <si>
    <t>adaptability, project management, time management, stakeholder management, teamwork, pmp</t>
  </si>
  <si>
    <t>Experienced project manager with 3 years working with adaptability, project management, time management</t>
  </si>
  <si>
    <t>CAND_0240</t>
  </si>
  <si>
    <t>adobe creative suite, problem solving, teamwork, html, css, figma</t>
  </si>
  <si>
    <t>Experienced designer with 3 years working with adobe creative suite, problem solving, teamwork</t>
  </si>
  <si>
    <t>CAND_0241</t>
  </si>
  <si>
    <t>adaptability, java, docker, creativity, aws</t>
  </si>
  <si>
    <t>Experienced backend developer with 3 years working with adaptability, java, docker</t>
  </si>
  <si>
    <t>CAND_0242</t>
  </si>
  <si>
    <t>teamwork, git, agile, java</t>
  </si>
  <si>
    <t>Experienced developer with 0 years working with teamwork, git, agile</t>
  </si>
  <si>
    <t>CAND_0243</t>
  </si>
  <si>
    <t>time management, data analysis, excel, creativity, leadership, r, reporting, sql</t>
  </si>
  <si>
    <t>Experienced analyst with 5 years working with time management, data analysis, excel</t>
  </si>
  <si>
    <t>CAND_0244</t>
  </si>
  <si>
    <t>r, python, teamwork, leadership</t>
  </si>
  <si>
    <t>Experienced analyst with 3 years working with r, python, teamwork</t>
  </si>
  <si>
    <t>CAND_0245</t>
  </si>
  <si>
    <t>ui/ux, adaptability, communication, adobe creative suite, leadership, html, design, css</t>
  </si>
  <si>
    <t>Experienced ui ux designer with 6 years working with ui/ux, adaptability, communication</t>
  </si>
  <si>
    <t>CAND_0246</t>
  </si>
  <si>
    <t>mobile, leadership, problem solving, kotlin</t>
  </si>
  <si>
    <t>Experienced mobile developer with 9 years working with mobile, leadership, problem solving</t>
  </si>
  <si>
    <t>CAND_0247</t>
  </si>
  <si>
    <t>critical thinking, machine learning, communication, pandas</t>
  </si>
  <si>
    <t>Experienced data scientist with 9 years working with critical thinking, machine learning, communication</t>
  </si>
  <si>
    <t>CAND_0248</t>
  </si>
  <si>
    <t>python, adaptability, testing, java, time management, programming, teamwork, javascript</t>
  </si>
  <si>
    <t>Experienced developer with 8 years working with python, adaptability, testing</t>
  </si>
  <si>
    <t>CAND_0249</t>
  </si>
  <si>
    <t>java, creativity, problem solving, teamwork, flutter</t>
  </si>
  <si>
    <t>Experienced mobile developer with 1 years working with java, creativity, problem solving</t>
  </si>
  <si>
    <t>CAND_0250</t>
  </si>
  <si>
    <t>python, adaptability, communication, data analysis, excel, creativity, reporting</t>
  </si>
  <si>
    <t>Experienced analyst with 2 years working with python, adaptability, communication</t>
  </si>
  <si>
    <t>CAND_0251</t>
  </si>
  <si>
    <t>python, c#, programming, problem solving, javascript</t>
  </si>
  <si>
    <t>Experienced software developer with 9 years working with python, c#, programming</t>
  </si>
  <si>
    <t>CAND_0252</t>
  </si>
  <si>
    <t>critical thinking, python, machine learning, time management</t>
  </si>
  <si>
    <t>Experienced data analyst with 0 years working with critical thinking, python, machine learning</t>
  </si>
  <si>
    <t>CAND_0253</t>
  </si>
  <si>
    <t>adobe creative suite, creativity, problem solving, teamwork, design</t>
  </si>
  <si>
    <t>Experienced designer with 8 years working with adobe creative suite, creativity, problem solving</t>
  </si>
  <si>
    <t>CAND_0254</t>
  </si>
  <si>
    <t>critical thinking, testing, creativity, programming, agile</t>
  </si>
  <si>
    <t>Experienced developer with 5 years working with critical thinking, testing, creativity</t>
  </si>
  <si>
    <t>CAND_0255</t>
  </si>
  <si>
    <t>adaptability, web design, adobe creative suite, color theory, design</t>
  </si>
  <si>
    <t>Experienced graphic designer with 0 years working with adaptability, web design, adobe creative suite</t>
  </si>
  <si>
    <t>CAND_0256</t>
  </si>
  <si>
    <t>critical thinking, python, creativity, excel, business intelligence, teamwork, powerbi, sql</t>
  </si>
  <si>
    <t>Experienced business analyst with 2 years working with critical thinking, python, creativity</t>
  </si>
  <si>
    <t>CAND_0257</t>
  </si>
  <si>
    <t>problem solving, leadership, javascript, html, css, sass</t>
  </si>
  <si>
    <t>Experienced frontend developer with 9 years working with problem solving, leadership, javascript</t>
  </si>
  <si>
    <t>CAND_0258</t>
  </si>
  <si>
    <t>creativity, react, typescript, problem solving, teamwork, javascript, html, css, nodejs, postgresql</t>
  </si>
  <si>
    <t>Experienced web developer with 2 years working with creativity, react, typescript</t>
  </si>
  <si>
    <t>CAND_0259</t>
  </si>
  <si>
    <t>Experienced qa engineer with 7 years working with teamwork</t>
  </si>
  <si>
    <t>CAND_0260</t>
  </si>
  <si>
    <t>critical thinking, adaptability, testing, programming, leadership, agile</t>
  </si>
  <si>
    <t>Experienced developer with 5 years working with critical thinking, adaptability, testing</t>
  </si>
  <si>
    <t>CAND_0261</t>
  </si>
  <si>
    <t>time management, ci/cd, testing, java</t>
  </si>
  <si>
    <t>Experienced software developer with 2 years working with time management, ci/cd, testing</t>
  </si>
  <si>
    <t>CAND_0262</t>
  </si>
  <si>
    <t>critical thinking, python, statistics, data analysis, excel, creativity, leadership, powerbi, reporting</t>
  </si>
  <si>
    <t>Experienced analyst with 9 years working with critical thinking, python, statistics</t>
  </si>
  <si>
    <t>CAND_0263</t>
  </si>
  <si>
    <t>java, c#, leadership, php, microservices</t>
  </si>
  <si>
    <t>Experienced backend developer with 6 years working with java, c#, leadership</t>
  </si>
  <si>
    <t>CAND_0264</t>
  </si>
  <si>
    <t>java, time management, c#, programming, problem solving, teamwork, c++, agile</t>
  </si>
  <si>
    <t>Experienced software developer with 2 years working with java, time management, c#</t>
  </si>
  <si>
    <t>CAND_0265</t>
  </si>
  <si>
    <t>creativity, business intelligence, tableau, teamwork, powerbi, r, process modeling</t>
  </si>
  <si>
    <t>Experienced business analyst with 6 years working with creativity, business intelligence, tableau</t>
  </si>
  <si>
    <t>CAND_0266</t>
  </si>
  <si>
    <t>seo, adaptability, content strategy, leadership, social media</t>
  </si>
  <si>
    <t>Experienced content creator with 2 years working with seo, adaptability, content strategy</t>
  </si>
  <si>
    <t>CAND_0267</t>
  </si>
  <si>
    <t>time management, problem solving, leadership, html, design</t>
  </si>
  <si>
    <t>Experienced designer with 0 years working with time management, problem solving, leadership</t>
  </si>
  <si>
    <t>CAND_0268</t>
  </si>
  <si>
    <t>critical thinking, communication, technical skills, leadership, product management, sql</t>
  </si>
  <si>
    <t>Experienced product manager with 9 years working with critical thinking, communication, technical skills</t>
  </si>
  <si>
    <t>CAND_0269</t>
  </si>
  <si>
    <t>adaptability, communication, teamwork, javascript, html, css</t>
  </si>
  <si>
    <t>Experienced frontend developer with 5 years working with adaptability, communication, teamwork</t>
  </si>
  <si>
    <t>CAND_0270</t>
  </si>
  <si>
    <t>critical thinking, problem solving, teamwork</t>
  </si>
  <si>
    <t>Experienced graphic designer with 6 years working with critical thinking, problem solving, teamwork</t>
  </si>
  <si>
    <t>CAND_0271</t>
  </si>
  <si>
    <t>problem solving, docker, c++, programming</t>
  </si>
  <si>
    <t>Experienced software developer with 0 years working with problem solving, docker, c++</t>
  </si>
  <si>
    <t>CAND_0272</t>
  </si>
  <si>
    <t>adaptability, project management, risk management, leadership, agile, confluence</t>
  </si>
  <si>
    <t>Experienced project manager with 7 years working with adaptability, project management, risk management</t>
  </si>
  <si>
    <t>CAND_0273</t>
  </si>
  <si>
    <t>python, communication, excel, teamwork, sql</t>
  </si>
  <si>
    <t>Experienced data analyst with 5 years working with python, communication, excel</t>
  </si>
  <si>
    <t>CAND_0274</t>
  </si>
  <si>
    <t>critical thinking, ui/ux, adobe creative suite, creativity, leadership, design, figma</t>
  </si>
  <si>
    <t>Experienced ui ux designer with 3 years working with critical thinking, ui/ux, adobe creative suite</t>
  </si>
  <si>
    <t>CAND_0275</t>
  </si>
  <si>
    <t>digital marketing, seo, time management, analytics, facebook ads, teamwork</t>
  </si>
  <si>
    <t>CAND_0276</t>
  </si>
  <si>
    <t>python, adaptability, communication, docker, c#, programming, leadership, c++</t>
  </si>
  <si>
    <t>Experienced software developer with 4 years working with python, adaptability, communication</t>
  </si>
  <si>
    <t>CAND_0277</t>
  </si>
  <si>
    <t>critical thinking, api, communication, php, aws, nodejs, sql</t>
  </si>
  <si>
    <t>Experienced backend developer with 0 years working with critical thinking, api, communication</t>
  </si>
  <si>
    <t>CAND_0278</t>
  </si>
  <si>
    <t>critical thinking, html, creativity, react, problem solving, mongodb, php, javascript, css, nodejs</t>
  </si>
  <si>
    <t>Experienced web developer with 2 years working with critical thinking, html, creativity</t>
  </si>
  <si>
    <t>CAND_0279</t>
  </si>
  <si>
    <t>problem solving, time management, critical thinking</t>
  </si>
  <si>
    <t>Experienced mobile developer with 10 years working with problem solving, time management, critical thinking</t>
  </si>
  <si>
    <t>CAND_0280</t>
  </si>
  <si>
    <t>critical thinking, adaptability, mobile, problem solving, flutter</t>
  </si>
  <si>
    <t>Experienced mobile developer with 3 years working with critical thinking, adaptability, mobile</t>
  </si>
  <si>
    <t>CAND_0281</t>
  </si>
  <si>
    <t>communication, bash, creativity, networking, vmware, hyper-v</t>
  </si>
  <si>
    <t>Experienced system administrator with 3 years working with communication, bash, creativity</t>
  </si>
  <si>
    <t>CAND_0282</t>
  </si>
  <si>
    <t>content writing, communication, social media, creativity</t>
  </si>
  <si>
    <t>Experienced content creator with 7 years working with content writing, communication, social media</t>
  </si>
  <si>
    <t>CAND_0283</t>
  </si>
  <si>
    <t>stakeholder management, teamwork, creativity, jira</t>
  </si>
  <si>
    <t>Experienced project manager with 8 years working with stakeholder management, teamwork, creativity</t>
  </si>
  <si>
    <t>CAND_0284</t>
  </si>
  <si>
    <t>critical thinking, teamwork, react</t>
  </si>
  <si>
    <t>Experienced web developer with 3 years working with critical thinking, teamwork, react</t>
  </si>
  <si>
    <t>CAND_0285</t>
  </si>
  <si>
    <t>kubernetes, java, c#, problem solving, php, microservices</t>
  </si>
  <si>
    <t>Experienced backend developer with 9 years working with kubernetes, java, c#</t>
  </si>
  <si>
    <t>CAND_0286</t>
  </si>
  <si>
    <t>adaptability, docker, teamwork, javascript, html, css, sql</t>
  </si>
  <si>
    <t>Experienced fullstack developer with 12 years working with adaptability, docker, teamwork</t>
  </si>
  <si>
    <t>CAND_0287</t>
  </si>
  <si>
    <t>machine learning, scipy, communication</t>
  </si>
  <si>
    <t>Experienced data scientist with 6 years working with machine learning, scipy, communication</t>
  </si>
  <si>
    <t>CAND_0288</t>
  </si>
  <si>
    <t>critical thinking, problem solving, security, networking, powershell</t>
  </si>
  <si>
    <t>Experienced system administrator with 0 years working with critical thinking, problem solving, security</t>
  </si>
  <si>
    <t>CAND_0289</t>
  </si>
  <si>
    <t>critical thinking, problem solving, time management</t>
  </si>
  <si>
    <t>Experienced devops engineer with 10 years working with critical thinking, problem solving, time management</t>
  </si>
  <si>
    <t>CAND_0290</t>
  </si>
  <si>
    <t>google play, adaptability, swift, java</t>
  </si>
  <si>
    <t>Experienced mobile developer with 9 years working with google play, adaptability, swift</t>
  </si>
  <si>
    <t>CAND_0291</t>
  </si>
  <si>
    <t>adobe creative suite, design, problem solving, html</t>
  </si>
  <si>
    <t>Experienced designer with 4 years working with adobe creative suite, design, problem solving</t>
  </si>
  <si>
    <t>CAND_0292</t>
  </si>
  <si>
    <t>python, adaptability, leadership, sql</t>
  </si>
  <si>
    <t>Experienced data scientist with 1 years working with python, adaptability, leadership</t>
  </si>
  <si>
    <t>CAND_0293</t>
  </si>
  <si>
    <t>python, docker, time management, creativity, teamwork, postgresql, mongodb, javascript, html, css, aws, sql</t>
  </si>
  <si>
    <t>Experienced fullstack developer with 3 years working with python, docker, time management</t>
  </si>
  <si>
    <t>CAND_0294</t>
  </si>
  <si>
    <t>creativity, programming, leadership, teamwork, c++</t>
  </si>
  <si>
    <t>Experienced software developer with 2 years working with creativity, programming, leadership</t>
  </si>
  <si>
    <t>CAND_0295</t>
  </si>
  <si>
    <t>security, teamwork, powershell, communication</t>
  </si>
  <si>
    <t>Experienced system administrator with 10 years working with security, teamwork, powershell</t>
  </si>
  <si>
    <t>CAND_0296</t>
  </si>
  <si>
    <t>python, adaptability, communication, requirements analysis, excel, business intelligence, tableau, teamwork, agile, sql</t>
  </si>
  <si>
    <t>Experienced business analyst with 0 years working with python, adaptability, communication</t>
  </si>
  <si>
    <t>CAND_0297</t>
  </si>
  <si>
    <t>python, testing, java, creativity, programming, problem solving, teamwork, git, javascript</t>
  </si>
  <si>
    <t>Experienced developer with 6 years working with python, testing, java</t>
  </si>
  <si>
    <t>CAND_0298</t>
  </si>
  <si>
    <t>critical thinking, adaptability, docker, react, microservices, postgresql</t>
  </si>
  <si>
    <t>Experienced fullstack developer with 2 years working with critical thinking, adaptability, docker</t>
  </si>
  <si>
    <t>CAND_0299</t>
  </si>
  <si>
    <t>graphic design, seo, copywriting, content strategy, time management, problem solving, wordpress</t>
  </si>
  <si>
    <t>Experienced content creator with 7 years working with graphic design, seo, copywriting</t>
  </si>
  <si>
    <t>CAND_0300</t>
  </si>
  <si>
    <t>critical thinking, testing, java, time management, programming, problem solving, git</t>
  </si>
  <si>
    <t>Experienced developer with 1 years working with critical thinking, testing, java</t>
  </si>
  <si>
    <t>CAND_0301</t>
  </si>
  <si>
    <t>pandas, communication, hadoop, statistics, problem solving, leadership, scipy</t>
  </si>
  <si>
    <t>Experienced data scientist with 4 years working with pandas, communication, hadoop</t>
  </si>
  <si>
    <t>CAND_0302</t>
  </si>
  <si>
    <t>problem solving, docker, linux, terraform</t>
  </si>
  <si>
    <t>Experienced devops engineer with 0 years working with problem solving, docker, linux</t>
  </si>
  <si>
    <t>CAND_0303</t>
  </si>
  <si>
    <t>critical thinking, linux, communication, windows, security</t>
  </si>
  <si>
    <t>Experienced system administrator with 4 years working with critical thinking, linux, communication</t>
  </si>
  <si>
    <t>CAND_0304</t>
  </si>
  <si>
    <t>adaptability, communication, testing, manual testing, quality assurance, selenium, ci/cd, bug tracking</t>
  </si>
  <si>
    <t>Experienced qa engineer with 3 years working with adaptability, communication, testing</t>
  </si>
  <si>
    <t>CAND_0305</t>
  </si>
  <si>
    <t>testing, time management, leadership, quality assurance, automation testing</t>
  </si>
  <si>
    <t>Experienced qa engineer with 7 years working with testing, time management, leadership</t>
  </si>
  <si>
    <t>CAND_0306</t>
  </si>
  <si>
    <t>python, communication, statistics, problem solving, sql</t>
  </si>
  <si>
    <t>Experienced data scientist with 7 years working with python, communication, statistics</t>
  </si>
  <si>
    <t>CAND_0307</t>
  </si>
  <si>
    <t>communication, devops, react, mongodb, microservices, nodejs</t>
  </si>
  <si>
    <t>Experienced fullstack developer with 3 years working with communication, devops, react</t>
  </si>
  <si>
    <t>CAND_0308</t>
  </si>
  <si>
    <t>adobe creative suite, time management, creativity, design, figma</t>
  </si>
  <si>
    <t>Experienced designer with 6 years working with adobe creative suite, time management, creativity</t>
  </si>
  <si>
    <t>CAND_0309</t>
  </si>
  <si>
    <t>communication, docker, devops, postgresql, mongodb, javascript, html, css, sql</t>
  </si>
  <si>
    <t>Experienced fullstack developer with 9 years working with communication, docker, devops</t>
  </si>
  <si>
    <t>CAND_0310</t>
  </si>
  <si>
    <t>problem solving, adaptability, time management</t>
  </si>
  <si>
    <t>Experienced analyst with 8 years working with problem solving, adaptability, time management</t>
  </si>
  <si>
    <t>CAND_0311</t>
  </si>
  <si>
    <t>linux, windows, bash, time management, security, powershell, active directory</t>
  </si>
  <si>
    <t>Experienced system administrator with 8 years working with linux, windows, bash</t>
  </si>
  <si>
    <t>CAND_0312</t>
  </si>
  <si>
    <t>adaptability, web design, adobe creative suite, print design, design</t>
  </si>
  <si>
    <t>Experienced graphic designer with 2 years working with adaptability, web design, adobe creative suite</t>
  </si>
  <si>
    <t>CAND_0313</t>
  </si>
  <si>
    <t>creativity, ci/cd, communication, programming</t>
  </si>
  <si>
    <t>Experienced software developer with 9 years working with creativity, ci/cd, communication</t>
  </si>
  <si>
    <t>CAND_0314</t>
  </si>
  <si>
    <t>critical thinking, bash, communication, time management</t>
  </si>
  <si>
    <t>Experienced system administrator with 0 years working with critical thinking, bash, communication</t>
  </si>
  <si>
    <t>CAND_0315</t>
  </si>
  <si>
    <t>hadoop, deep learning, teamwork, communication</t>
  </si>
  <si>
    <t>Experienced data scientist with 2 years working with hadoop, deep learning, teamwork</t>
  </si>
  <si>
    <t>CAND_0316</t>
  </si>
  <si>
    <t>communication, web design, adobe creative suite, time management, teamwork, design</t>
  </si>
  <si>
    <t>Experienced graphic designer with 7 years working with communication, web design, adobe creative suite</t>
  </si>
  <si>
    <t>CAND_0317</t>
  </si>
  <si>
    <t>content writing, adaptability, communication, time management, teamwork, wordpress, social media, video editing</t>
  </si>
  <si>
    <t>Experienced content creator with 9 years working with content writing, adaptability, communication</t>
  </si>
  <si>
    <t>CAND_0318</t>
  </si>
  <si>
    <t>problem solving, design, ui/ux, figma</t>
  </si>
  <si>
    <t>Experienced designer with 0 years working with problem solving, design, ui/ux</t>
  </si>
  <si>
    <t>CAND_0319</t>
  </si>
  <si>
    <t>api, c#, leadership, php, sql</t>
  </si>
  <si>
    <t>Experienced backend developer with 2 years working with api, c#, leadership</t>
  </si>
  <si>
    <t>CAND_0320</t>
  </si>
  <si>
    <t>adaptability, pandas, time management, statistics, data visualization, problem solving</t>
  </si>
  <si>
    <t>Experienced data analyst with 7 years working with adaptability, pandas, time management</t>
  </si>
  <si>
    <t>CAND_0321</t>
  </si>
  <si>
    <t>docker, leadership, azure</t>
  </si>
  <si>
    <t>Experienced backend developer with 7 years working with docker, leadership, azure</t>
  </si>
  <si>
    <t>CAND_0322</t>
  </si>
  <si>
    <t>adaptability, time management, responsive design, react, teamwork, angular</t>
  </si>
  <si>
    <t>Experienced frontend developer with 2 years working with adaptability, time management, responsive design</t>
  </si>
  <si>
    <t>CAND_0323</t>
  </si>
  <si>
    <t>communication, time management, creativity, azure, monitoring, prometheus</t>
  </si>
  <si>
    <t>Experienced devops engineer with 3 years working with communication, time management, creativity</t>
  </si>
  <si>
    <t>CAND_0324</t>
  </si>
  <si>
    <t>adaptability, testing, creativity, quality assurance, ci/cd</t>
  </si>
  <si>
    <t>Experienced qa engineer with 7 years working with adaptability, testing, creativity</t>
  </si>
  <si>
    <t>CAND_0325</t>
  </si>
  <si>
    <t>critical thinking, data analysis, excel, tableau, teamwork, powerbi</t>
  </si>
  <si>
    <t>Experienced analyst with 8 years working with critical thinking, data analysis, excel</t>
  </si>
  <si>
    <t>CAND_0326</t>
  </si>
  <si>
    <t>graphic design, seo, content writing, critical thinking, communication, content strategy, creativity, analytics, problem solving, social media</t>
  </si>
  <si>
    <t>Experienced content creator with 3 years working with graphic design, seo, content writing</t>
  </si>
  <si>
    <t>CAND_0327</t>
  </si>
  <si>
    <t>adaptability, communication, c#, leadership, azure, aws, nodejs</t>
  </si>
  <si>
    <t>Experienced backend developer with 9 years working with adaptability, communication, c#</t>
  </si>
  <si>
    <t>CAND_0328</t>
  </si>
  <si>
    <t>critical thinking, confluence</t>
  </si>
  <si>
    <t>Experienced project manager with 8 years working with critical thinking, confluence</t>
  </si>
  <si>
    <t>CAND_0329</t>
  </si>
  <si>
    <t>ui/ux, adaptability, leadership, teamwork, design, figma</t>
  </si>
  <si>
    <t>Experienced designer with 3 years working with ui/ux, adaptability, leadership</t>
  </si>
  <si>
    <t>CAND_0330</t>
  </si>
  <si>
    <t>communication, technical skills, roadmap planning, time management, creativity, teamwork, product management</t>
  </si>
  <si>
    <t>Experienced product manager with 6 years working with communication, technical skills, roadmap planning</t>
  </si>
  <si>
    <t>CAND_0331</t>
  </si>
  <si>
    <t>time management, creativity, programming, leadership, c++, ci/cd</t>
  </si>
  <si>
    <t>Experienced software developer with 5 years working with time management, creativity, programming</t>
  </si>
  <si>
    <t>CAND_0332</t>
  </si>
  <si>
    <t>critical thinking, css, javascript, html</t>
  </si>
  <si>
    <t>Experienced frontend developer with 8 years working with critical thinking, css, javascript</t>
  </si>
  <si>
    <t>CAND_0333</t>
  </si>
  <si>
    <t>critical thinking, python, api, time management, go, php, aws, sql</t>
  </si>
  <si>
    <t>Experienced backend developer with 9 years working with critical thinking, python, api</t>
  </si>
  <si>
    <t>CAND_0334</t>
  </si>
  <si>
    <t>digital marketing, creativity, content marketing, email marketing</t>
  </si>
  <si>
    <t>Experienced digital marketer with 0 years working with digital marketing, creativity, content marketing</t>
  </si>
  <si>
    <t>CAND_0335</t>
  </si>
  <si>
    <t>time management, creativity, leadership, project management</t>
  </si>
  <si>
    <t>Experienced project manager with 3 years working with time management, creativity, leadership</t>
  </si>
  <si>
    <t>CAND_0336</t>
  </si>
  <si>
    <t>time management, statistics, data visualization, tableau, powerbi</t>
  </si>
  <si>
    <t>Experienced data analyst with 3 years working with time management, statistics, data visualization</t>
  </si>
  <si>
    <t>CAND_0337</t>
  </si>
  <si>
    <t>critical thinking, data analysis, excel, leadership, teamwork</t>
  </si>
  <si>
    <t>Experienced analyst with 4 years working with critical thinking, data analysis, excel</t>
  </si>
  <si>
    <t>CAND_0338</t>
  </si>
  <si>
    <t>linux, windows, leadership, teamwork, powershell, monitoring</t>
  </si>
  <si>
    <t>Experienced system administrator with 0 years working with linux, windows, leadership</t>
  </si>
  <si>
    <t>CAND_0339</t>
  </si>
  <si>
    <t>design, ui/ux, communication</t>
  </si>
  <si>
    <t>Experienced ui ux designer with 2 years working with design, ui/ux, communication</t>
  </si>
  <si>
    <t>CAND_0340</t>
  </si>
  <si>
    <t>communication, statistics, spark, leadership, pytorch, scipy</t>
  </si>
  <si>
    <t>Experienced data scientist with 2 years working with communication, statistics, spark</t>
  </si>
  <si>
    <t>CAND_0341</t>
  </si>
  <si>
    <t>leadership, technical skills, roadmap planning</t>
  </si>
  <si>
    <t>Experienced product manager with 8 years working with leadership, technical skills, roadmap planning</t>
  </si>
  <si>
    <t>CAND_0342</t>
  </si>
  <si>
    <t>deep learning, creativity, time management, spark, problem solving</t>
  </si>
  <si>
    <t>Experienced data scientist with 8 years working with deep learning, creativity, time management</t>
  </si>
  <si>
    <t>CAND_0343</t>
  </si>
  <si>
    <t>adaptability, problem solving, devops</t>
  </si>
  <si>
    <t>Experienced fullstack developer with 3 years working with adaptability, problem solving, devops</t>
  </si>
  <si>
    <t>CAND_0344</t>
  </si>
  <si>
    <t>critical thinking, linux, docker, gitlab ci, grafana, creativity, ansible, azure, aws</t>
  </si>
  <si>
    <t>Experienced devops engineer with 2 years working with critical thinking, linux, docker</t>
  </si>
  <si>
    <t>CAND_0345</t>
  </si>
  <si>
    <t>problem solving, python, teamwork, sql</t>
  </si>
  <si>
    <t>Experienced data scientist with 0 years working with problem solving, python, teamwork</t>
  </si>
  <si>
    <t>CAND_0346</t>
  </si>
  <si>
    <t>Experienced designer with 7 years working with problem solving</t>
  </si>
  <si>
    <t>CAND_0347</t>
  </si>
  <si>
    <t>react native, java, firebase, leadership, push notifications, flutter</t>
  </si>
  <si>
    <t>Experienced mobile developer with 0 years working with react native, java, firebase</t>
  </si>
  <si>
    <t>CAND_0348</t>
  </si>
  <si>
    <t>digital marketing, time management, creativity, critical thinking</t>
  </si>
  <si>
    <t>Experienced digital marketer with 1 years working with digital marketing, time management, creativity</t>
  </si>
  <si>
    <t>CAND_0349</t>
  </si>
  <si>
    <t>critical thinking, creativity, aws</t>
  </si>
  <si>
    <t>Experienced fullstack developer with 6 years working with critical thinking, creativity, aws</t>
  </si>
  <si>
    <t>CAND_0350</t>
  </si>
  <si>
    <t>python, docker, creativity, problem solving, javascript, html, microservices, css, nodejs, sql</t>
  </si>
  <si>
    <t>Experienced fullstack developer with 11 years working with python, docker, creativity</t>
  </si>
  <si>
    <t>CAND_0351</t>
  </si>
  <si>
    <t>python, pandas, communication, excel, data visualization, tableau, powerbi, sql</t>
  </si>
  <si>
    <t>Experienced data analyst with 5 years working with python, pandas, communication</t>
  </si>
  <si>
    <t>CAND_0352</t>
  </si>
  <si>
    <t>critical thinking, communication, powerbi</t>
  </si>
  <si>
    <t>Experienced business analyst with 8 years working with critical thinking, communication, powerbi</t>
  </si>
  <si>
    <t>CAND_0353</t>
  </si>
  <si>
    <t>communication, time management, statistics, creativity, powerbi, r, reporting</t>
  </si>
  <si>
    <t>Experienced analyst with 3 years working with communication, time management, statistics</t>
  </si>
  <si>
    <t>CAND_0354</t>
  </si>
  <si>
    <t>critical thinking, communication, swift, mobile, kotlin, problem solving, push notifications, flutter</t>
  </si>
  <si>
    <t>Experienced mobile developer with 6 years working with critical thinking, communication, swift</t>
  </si>
  <si>
    <t>CAND_0355</t>
  </si>
  <si>
    <t>digital marketing, conversion optimization, sem, facebook ads, leadership</t>
  </si>
  <si>
    <t>Experienced digital marketer with 10 years working with digital marketing, conversion optimization, sem</t>
  </si>
  <si>
    <t>CAND_0356</t>
  </si>
  <si>
    <t>problem solving, sketch, prototyping</t>
  </si>
  <si>
    <t>Experienced ui ux designer with 1 years working with problem solving, sketch, prototyping</t>
  </si>
  <si>
    <t>CAND_0357</t>
  </si>
  <si>
    <t>ui/ux, user research, leadership, wireframing, design</t>
  </si>
  <si>
    <t>Experienced ui ux designer with 6 years working with ui/ux, user research, leadership</t>
  </si>
  <si>
    <t>CAND_0358</t>
  </si>
  <si>
    <t>leadership, gitlab ci, ansible</t>
  </si>
  <si>
    <t>Experienced devops engineer with 1 years working with leadership, gitlab ci, ansible</t>
  </si>
  <si>
    <t>CAND_0359</t>
  </si>
  <si>
    <t>problem solving, docker, linux, ansible</t>
  </si>
  <si>
    <t>Experienced devops engineer with 6 years working with problem solving, docker, linux</t>
  </si>
  <si>
    <t>CAND_0360</t>
  </si>
  <si>
    <t>Experienced data scientist with 5 years working with critical thinking</t>
  </si>
  <si>
    <t>CAND_0361</t>
  </si>
  <si>
    <t>color theory, problem solving, web design</t>
  </si>
  <si>
    <t>Experienced graphic designer with 1 years working with color theory, problem solving, web design</t>
  </si>
  <si>
    <t>CAND_0362</t>
  </si>
  <si>
    <t>adaptability, communication, project management, stakeholder management, agile</t>
  </si>
  <si>
    <t>CAND_0363</t>
  </si>
  <si>
    <t>python, leadership, postgresql, javascript, html, css, nodejs, sql</t>
  </si>
  <si>
    <t>Experienced fullstack developer with 3 years working with python, leadership, postgresql</t>
  </si>
  <si>
    <t>CAND_0364</t>
  </si>
  <si>
    <t>python, docker, teamwork, postgresql, javascript, html, microservices, css, nodejs, sql</t>
  </si>
  <si>
    <t>Experienced fullstack developer with 3 years working with python, docker, teamwork</t>
  </si>
  <si>
    <t>CAND_0365</t>
  </si>
  <si>
    <t>adaptability, javascript, html, microservices, css, sql</t>
  </si>
  <si>
    <t>Experienced fullstack developer with 9 years working with adaptability, javascript, html</t>
  </si>
  <si>
    <t>CAND_0366</t>
  </si>
  <si>
    <t>python, creativity, excel, process modeling, sql</t>
  </si>
  <si>
    <t>Experienced business analyst with 2 years working with python, creativity, excel</t>
  </si>
  <si>
    <t>CAND_0367</t>
  </si>
  <si>
    <t>linux, windows, creativity, networking, vmware</t>
  </si>
  <si>
    <t>Experienced system administrator with 1 years working with linux, windows, creativity</t>
  </si>
  <si>
    <t>CAND_0368</t>
  </si>
  <si>
    <t>problem solving, design</t>
  </si>
  <si>
    <t>Experienced designer with 2 years working with problem solving, design</t>
  </si>
  <si>
    <t>CAND_0369</t>
  </si>
  <si>
    <t>critical thinking, linux, adaptability, kubernetes, docker, gitlab ci, ansible, teamwork, prometheus</t>
  </si>
  <si>
    <t>Experienced devops engineer with 12 years working with critical thinking, linux, adaptability</t>
  </si>
  <si>
    <t>CAND_0370</t>
  </si>
  <si>
    <t>critical thinking, communication, statistics, excel, tableau, leadership, sql</t>
  </si>
  <si>
    <t>Experienced data analyst with 1 years working with critical thinking, communication, statistics</t>
  </si>
  <si>
    <t>CAND_0371</t>
  </si>
  <si>
    <t>communication, technical skills, problem solving, teamwork, product management, sql</t>
  </si>
  <si>
    <t>Experienced product manager with 11 years working with communication, technical skills, problem solving</t>
  </si>
  <si>
    <t>CAND_0372</t>
  </si>
  <si>
    <t>graphic design, leadership, wordpress</t>
  </si>
  <si>
    <t>Experienced content creator with 5 years working with graphic design, leadership, wordpress</t>
  </si>
  <si>
    <t>CAND_0373</t>
  </si>
  <si>
    <t>problem solving, docker, linux, aws</t>
  </si>
  <si>
    <t>Experienced devops engineer with 9 years working with problem solving, docker, linux</t>
  </si>
  <si>
    <t>CAND_0374</t>
  </si>
  <si>
    <t>python, testing, programming, leadership, javascript, sql</t>
  </si>
  <si>
    <t>Experienced developer with 6 years working with python, testing, programming</t>
  </si>
  <si>
    <t>CAND_0375</t>
  </si>
  <si>
    <t>python, adaptability, api, java, leadership, teamwork, nodejs, sql</t>
  </si>
  <si>
    <t>Experienced backend developer with 0 years working with python, adaptability, api</t>
  </si>
  <si>
    <t>CAND_0376</t>
  </si>
  <si>
    <t>illustrator, adobe creative suite, color theory, branding, leadership, design</t>
  </si>
  <si>
    <t>Experienced graphic designer with 5 years working with illustrator, adobe creative suite, color theory</t>
  </si>
  <si>
    <t>CAND_0377</t>
  </si>
  <si>
    <t>kotlin, critical thinking, teamwork, react native</t>
  </si>
  <si>
    <t>Experienced mobile developer with 2 years working with kotlin, critical thinking, teamwork</t>
  </si>
  <si>
    <t>CAND_0378</t>
  </si>
  <si>
    <t>communication, time management, problem solving, manual testing, selenium, bug tracking</t>
  </si>
  <si>
    <t>Experienced qa engineer with 7 years working with communication, time management, problem solving</t>
  </si>
  <si>
    <t>CAND_0379</t>
  </si>
  <si>
    <t>adaptability, design, teamwork, ui/ux</t>
  </si>
  <si>
    <t>Experienced ui ux designer with 8 years working with adaptability, design, teamwork</t>
  </si>
  <si>
    <t>CAND_0380</t>
  </si>
  <si>
    <t>communication, technical skills, creativity, leadership, product management, agile</t>
  </si>
  <si>
    <t>Experienced product manager with 1 years working with communication, technical skills, creativity</t>
  </si>
  <si>
    <t>CAND_0381</t>
  </si>
  <si>
    <t>excel, data visualization, machine learning, leadership, teamwork, powerbi, r, sql</t>
  </si>
  <si>
    <t>Experienced data analyst with 2 years working with excel, data visualization, machine learning</t>
  </si>
  <si>
    <t>CAND_0382</t>
  </si>
  <si>
    <t>ui/ux, communication, creativity, problem solving, design, sketch, figma</t>
  </si>
  <si>
    <t>Experienced ui ux designer with 6 years working with ui/ux, communication, creativity</t>
  </si>
  <si>
    <t>CAND_0383</t>
  </si>
  <si>
    <t>ui/ux, adaptability, communication, adobe creative suite, leadership, prototyping, html, design, css, figma</t>
  </si>
  <si>
    <t>Experienced ui ux designer with 2 years working with ui/ux, adaptability, communication</t>
  </si>
  <si>
    <t>CAND_0384</t>
  </si>
  <si>
    <t>statistics, data analysis, excel, creativity, powerbi, sql</t>
  </si>
  <si>
    <t>Experienced analyst with 6 years working with statistics, data analysis, excel</t>
  </si>
  <si>
    <t>CAND_0385</t>
  </si>
  <si>
    <t>linux, adaptability, docker, gitlab ci, creativity, teamwork, monitoring</t>
  </si>
  <si>
    <t>Experienced devops engineer with 3 years working with linux, adaptability, docker</t>
  </si>
  <si>
    <t>CAND_0386</t>
  </si>
  <si>
    <t>Experienced ui ux designer with 4 years working with design, ui/ux, communication</t>
  </si>
  <si>
    <t>CAND_0387</t>
  </si>
  <si>
    <t>graphic design, seo, copywriting, problem solving, wordpress, social media</t>
  </si>
  <si>
    <t>Experienced content creator with 3 years working with graphic design, seo, copywriting</t>
  </si>
  <si>
    <t>CAND_0388</t>
  </si>
  <si>
    <t>communication, testing, time management, c#, programming, leadership</t>
  </si>
  <si>
    <t>Experienced software developer with 4 years working with communication, testing, time management</t>
  </si>
  <si>
    <t>CAND_0389</t>
  </si>
  <si>
    <t>critical thinking, communication, java, programming, problem solving, agile, javascript</t>
  </si>
  <si>
    <t>Experienced developer with 2 years working with critical thinking, communication, java</t>
  </si>
  <si>
    <t>CAND_0390</t>
  </si>
  <si>
    <t>time management, communication</t>
  </si>
  <si>
    <t>Experienced content creator with 8 years working with time management, communication</t>
  </si>
  <si>
    <t>CAND_0391</t>
  </si>
  <si>
    <t>linux, communication, kubernetes, docker, problem solving, teamwork</t>
  </si>
  <si>
    <t>Experienced devops engineer with 4 years working with linux, communication, kubernetes</t>
  </si>
  <si>
    <t>CAND_0392</t>
  </si>
  <si>
    <t>indesign, color theory, creativity, branding, teamwork</t>
  </si>
  <si>
    <t>Experienced graphic designer with 7 years working with indesign, color theory, creativity</t>
  </si>
  <si>
    <t>CAND_0393</t>
  </si>
  <si>
    <t>critical thinking, communication, time management, powerbi, r</t>
  </si>
  <si>
    <t>Experienced analyst with 3 years working with critical thinking, communication, time management</t>
  </si>
  <si>
    <t>CAND_0394</t>
  </si>
  <si>
    <t>critical thinking, adaptability, testing, api testing, problem solving, quality assurance, selenium, ci/cd, automation testing, bug tracking</t>
  </si>
  <si>
    <t>Experienced qa engineer with 0 years working with critical thinking, adaptability, testing</t>
  </si>
  <si>
    <t>CAND_0395</t>
  </si>
  <si>
    <t>creativity, swift</t>
  </si>
  <si>
    <t>Experienced mobile developer with 6 years working with creativity, swift</t>
  </si>
  <si>
    <t>CAND_0396</t>
  </si>
  <si>
    <t>critical thinking, python, api, communication, time management, go, sql</t>
  </si>
  <si>
    <t>Experienced backend developer with 10 years working with critical thinking, python, api</t>
  </si>
  <si>
    <t>CAND_0397</t>
  </si>
  <si>
    <t>active directory, time management, creativity, leadership, powershell, monitoring</t>
  </si>
  <si>
    <t>Experienced system administrator with 1 years working with active directory, time management, creativity</t>
  </si>
  <si>
    <t>CAND_0398</t>
  </si>
  <si>
    <t>linux, docker, gitlab ci, time management, teamwork</t>
  </si>
  <si>
    <t>Experienced devops engineer with 6 years working with linux, docker, gitlab ci</t>
  </si>
  <si>
    <t>CAND_0399</t>
  </si>
  <si>
    <t>photoshop, critical thinking, illustrator, indesign</t>
  </si>
  <si>
    <t>Experienced graphic designer with 3 years working with photoshop, critical thinking, illustrator</t>
  </si>
  <si>
    <t>CAND_0400</t>
  </si>
  <si>
    <t>python, communication, deep learning, leadership, sql</t>
  </si>
  <si>
    <t>Experienced data scientist with 11 years working with python, communication, deep learning</t>
  </si>
  <si>
    <t>CAND_0401</t>
  </si>
  <si>
    <t>adaptability, jira, communication, project management, stakeholder management, problem solving</t>
  </si>
  <si>
    <t>Experienced project manager with 2 years working with adaptability, jira, communication</t>
  </si>
  <si>
    <t>CAND_0402</t>
  </si>
  <si>
    <t>critical thinking, creativity, grafana, ansible, leadership, terraform, prometheus, aws</t>
  </si>
  <si>
    <t>Experienced devops engineer with 3 years working with critical thinking, creativity, grafana</t>
  </si>
  <si>
    <t>CAND_0403</t>
  </si>
  <si>
    <t>critical thinking, linux, adaptability, kubernetes, docker, gitlab ci, problem solving, prometheus, aws</t>
  </si>
  <si>
    <t>Experienced devops engineer with 4 years working with critical thinking, linux, adaptability</t>
  </si>
  <si>
    <t>CAND_0404</t>
  </si>
  <si>
    <t>adobe creative suite, design, teamwork, illustrator</t>
  </si>
  <si>
    <t>Experienced graphic designer with 8 years working with adobe creative suite, design, teamwork</t>
  </si>
  <si>
    <t>CAND_0405</t>
  </si>
  <si>
    <t>problem solving, time management, adaptability, php</t>
  </si>
  <si>
    <t>Experienced web developer with 5 years working with problem solving, time management, adaptability</t>
  </si>
  <si>
    <t>CAND_0406</t>
  </si>
  <si>
    <t>critical thinking, java, mobile, time management, google play, kotlin, firebase, flutter</t>
  </si>
  <si>
    <t>Experienced mobile developer with 1 years working with critical thinking, java, mobile</t>
  </si>
  <si>
    <t>CAND_0407</t>
  </si>
  <si>
    <t>problem solving, css, javascript, html</t>
  </si>
  <si>
    <t>Experienced web developer with 8 years working with problem solving, css, javascript</t>
  </si>
  <si>
    <t>CAND_0408</t>
  </si>
  <si>
    <t>communication, testing, time management, leadership, quality assurance</t>
  </si>
  <si>
    <t>Experienced qa engineer with 0 years working with communication, testing, time management</t>
  </si>
  <si>
    <t>CAND_0409</t>
  </si>
  <si>
    <t>api, kubernetes, java, docker, leadership, teamwork, sql</t>
  </si>
  <si>
    <t>Experienced backend developer with 2 years working with api, kubernetes, java</t>
  </si>
  <si>
    <t>CAND_0410</t>
  </si>
  <si>
    <t>linux, adaptability, docker, ansible, teamwork, azure</t>
  </si>
  <si>
    <t>Experienced devops engineer with 5 years working with linux, adaptability, docker</t>
  </si>
  <si>
    <t>CAND_0411</t>
  </si>
  <si>
    <t>adaptability, react native, java, creativity, app store</t>
  </si>
  <si>
    <t>Experienced mobile developer with 6 years working with adaptability, react native, java</t>
  </si>
  <si>
    <t>CAND_0412</t>
  </si>
  <si>
    <t>critical thinking, adaptability, responsive design</t>
  </si>
  <si>
    <t>Experienced frontend developer with 6 years working with critical thinking, adaptability, responsive design</t>
  </si>
  <si>
    <t>CAND_0413</t>
  </si>
  <si>
    <t>adaptability, testing, time management, performance testing, quality assurance, bug tracking</t>
  </si>
  <si>
    <t>Experienced qa engineer with 8 years working with adaptability, testing, time management</t>
  </si>
  <si>
    <t>CAND_0414</t>
  </si>
  <si>
    <t>react, typescript, vue, teamwork, javascript, html, angular, css</t>
  </si>
  <si>
    <t>Experienced frontend developer with 8 years working with react, typescript, vue</t>
  </si>
  <si>
    <t>CAND_0415</t>
  </si>
  <si>
    <t>numpy, python, critical thinking, pandas, machine learning, sql</t>
  </si>
  <si>
    <t>Experienced data scientist with 8 years working with numpy, python, critical thinking</t>
  </si>
  <si>
    <t>CAND_0416</t>
  </si>
  <si>
    <t>critical thinking, design, prototyping, time management</t>
  </si>
  <si>
    <t>Experienced designer with 6 years working with critical thinking, design, prototyping</t>
  </si>
  <si>
    <t>CAND_0417</t>
  </si>
  <si>
    <t>linux, kubernetes, docker, time management, jenkins, leadership, aws</t>
  </si>
  <si>
    <t>Experienced devops engineer with 12 years working with linux, kubernetes, docker</t>
  </si>
  <si>
    <t>CAND_0418</t>
  </si>
  <si>
    <t>web design, adobe creative suite, color theory, creativity, branding, photoshop, design</t>
  </si>
  <si>
    <t>Experienced graphic designer with 1 years working with web design, adobe creative suite, color theory</t>
  </si>
  <si>
    <t>CAND_0419</t>
  </si>
  <si>
    <t>security, networking, powershell, communication</t>
  </si>
  <si>
    <t>Experienced system administrator with 4 years working with security, networking, powershell</t>
  </si>
  <si>
    <t>CAND_0420</t>
  </si>
  <si>
    <t>digital marketing, communication, conversion optimization, time management, content marketing</t>
  </si>
  <si>
    <t>Experienced digital marketer with 1 years working with digital marketing, communication, conversion optimization</t>
  </si>
  <si>
    <t>CAND_0421</t>
  </si>
  <si>
    <t>critical thinking, jira, stakeholder management, problem solving, teamwork, scrum</t>
  </si>
  <si>
    <t>Experienced project manager with 4 years working with critical thinking, jira, stakeholder management</t>
  </si>
  <si>
    <t>CAND_0422</t>
  </si>
  <si>
    <t>leadership, teamwork, time management, java</t>
  </si>
  <si>
    <t>Experienced software developer with 4 years working with leadership, teamwork, time management</t>
  </si>
  <si>
    <t>CAND_0423</t>
  </si>
  <si>
    <t>adaptability, excel, problem solving, leadership, sql</t>
  </si>
  <si>
    <t>Experienced data analyst with 0 years working with adaptability, excel, problem solving</t>
  </si>
  <si>
    <t>CAND_0424</t>
  </si>
  <si>
    <t>api, time management, leadership, azure, microservices, sql</t>
  </si>
  <si>
    <t>Experienced backend developer with 3 years working with api, time management, leadership</t>
  </si>
  <si>
    <t>CAND_0425</t>
  </si>
  <si>
    <t>problem solving, design, ui/ux, html</t>
  </si>
  <si>
    <t>CAND_0426</t>
  </si>
  <si>
    <t>adaptability, testing, creativity, quality assurance, security testing</t>
  </si>
  <si>
    <t>Experienced qa engineer with 2 years working with adaptability, testing, creativity</t>
  </si>
  <si>
    <t>CAND_0427</t>
  </si>
  <si>
    <t>teamwork, adaptability, css, prototyping</t>
  </si>
  <si>
    <t>Experienced designer with 0 years working with teamwork, adaptability, css</t>
  </si>
  <si>
    <t>CAND_0428</t>
  </si>
  <si>
    <t>leadership, adaptability, indesign, communication</t>
  </si>
  <si>
    <t>Experienced graphic designer with 1 years working with leadership, adaptability, indesign</t>
  </si>
  <si>
    <t>CAND_0429</t>
  </si>
  <si>
    <t>adaptability, linux, docker, creativity, leadership, azure</t>
  </si>
  <si>
    <t>Experienced devops engineer with 7 years working with adaptability, linux, docker</t>
  </si>
  <si>
    <t>CAND_0430</t>
  </si>
  <si>
    <t>adaptability, swift, mobile, kotlin, push notifications, flutter</t>
  </si>
  <si>
    <t>Experienced mobile developer with 4 years working with adaptability, swift, mobile</t>
  </si>
  <si>
    <t>CAND_0431</t>
  </si>
  <si>
    <t>digital marketing, seo, adaptability, email marketing, sem, creativity</t>
  </si>
  <si>
    <t>Experienced digital marketer with 7 years working with digital marketing, seo, adaptability</t>
  </si>
  <si>
    <t>CAND_0432</t>
  </si>
  <si>
    <t>critical thinking, creativity, responsive design, react, typescript, leadership, angular, sass</t>
  </si>
  <si>
    <t>Experienced frontend developer with 1 years working with critical thinking, creativity, responsive design</t>
  </si>
  <si>
    <t>CAND_0433</t>
  </si>
  <si>
    <t>critical thinking, user research, communication, figma</t>
  </si>
  <si>
    <t>Experienced ui ux designer with 5 years working with critical thinking, user research, communication</t>
  </si>
  <si>
    <t>CAND_0434</t>
  </si>
  <si>
    <t>communication, statistics, excel, data visualization, machine learning, teamwork, leadership, sql</t>
  </si>
  <si>
    <t>Experienced data analyst with 5 years working with communication, statistics, excel</t>
  </si>
  <si>
    <t>CAND_0435</t>
  </si>
  <si>
    <t>time management, teamwork</t>
  </si>
  <si>
    <t>Experienced designer with 0 years working with time management, teamwork</t>
  </si>
  <si>
    <t>CAND_0436</t>
  </si>
  <si>
    <t>testing, creativity, api testing, quality assurance, automation testing, bug tracking</t>
  </si>
  <si>
    <t>Experienced qa engineer with 3 years working with testing, creativity, api testing</t>
  </si>
  <si>
    <t>CAND_0437</t>
  </si>
  <si>
    <t>digital marketing, seo, critical thinking, adaptability, conversion optimization, analytics, problem solving</t>
  </si>
  <si>
    <t>Experienced digital marketer with 1 years working with digital marketing, seo, critical thinking</t>
  </si>
  <si>
    <t>CAND_0438</t>
  </si>
  <si>
    <t>testing, c#, leadership, teamwork, git</t>
  </si>
  <si>
    <t>Experienced software developer with 2 years working with testing, c#, leadership</t>
  </si>
  <si>
    <t>CAND_0439</t>
  </si>
  <si>
    <t>adaptability, communication, technical skills, a/b testing, problem solving, product management, agile</t>
  </si>
  <si>
    <t>Experienced product manager with 10 years working with adaptability, communication, technical skills</t>
  </si>
  <si>
    <t>CAND_0440</t>
  </si>
  <si>
    <t>jira, communication, project management, time management, leadership, problem solving, agile, confluence, pmp</t>
  </si>
  <si>
    <t>Experienced project manager with 7 years working with jira, communication, project management</t>
  </si>
  <si>
    <t>CAND_0441</t>
  </si>
  <si>
    <t>critical thinking, communication, java, mobile, creativity</t>
  </si>
  <si>
    <t>Experienced mobile developer with 1 years working with critical thinking, communication, java</t>
  </si>
  <si>
    <t>CAND_0442</t>
  </si>
  <si>
    <t>design, teamwork, leadership, figma</t>
  </si>
  <si>
    <t>Experienced designer with 0 years working with design, teamwork, leadership</t>
  </si>
  <si>
    <t>CAND_0443</t>
  </si>
  <si>
    <t>adaptability, time management, statistics, excel, teamwork, sql</t>
  </si>
  <si>
    <t>Experienced data analyst with 1 years working with adaptability, time management, statistics</t>
  </si>
  <si>
    <t>CAND_0444</t>
  </si>
  <si>
    <t>python, adaptability, deep learning, spark, sql</t>
  </si>
  <si>
    <t>Experienced data scientist with 6 years working with python, adaptability, deep learning</t>
  </si>
  <si>
    <t>CAND_0445</t>
  </si>
  <si>
    <t>adaptability, sem, creativity, facebook ads, problem solving, social media</t>
  </si>
  <si>
    <t>Experienced digital marketer with 1 years working with adaptability, sem, creativity</t>
  </si>
  <si>
    <t>CAND_0446</t>
  </si>
  <si>
    <t>adaptability, teamwork, agile, programming</t>
  </si>
  <si>
    <t>Experienced developer with 0 years working with adaptability, teamwork, agile</t>
  </si>
  <si>
    <t>CAND_0447</t>
  </si>
  <si>
    <t>digital marketing, seo, communication, analytics, leadership</t>
  </si>
  <si>
    <t>Experienced digital marketer with 9 years working with digital marketing, seo, communication</t>
  </si>
  <si>
    <t>CAND_0448</t>
  </si>
  <si>
    <t>java, creativity, c#, c++, agile, git</t>
  </si>
  <si>
    <t>Experienced software developer with 7 years working with java, creativity, c#</t>
  </si>
  <si>
    <t>CAND_0449</t>
  </si>
  <si>
    <t>critical thinking, ui/ux, creativity, problem solving, wireframing, design, sketch</t>
  </si>
  <si>
    <t>Experienced ui ux designer with 7 years working with critical thinking, ui/ux, creativity</t>
  </si>
  <si>
    <t>CAND_0450</t>
  </si>
  <si>
    <t>communication, time management, creativity, performance testing, manual testing, selenium, bug tracking</t>
  </si>
  <si>
    <t>Experienced qa engineer with 8 years working with communication, time management, creativity</t>
  </si>
  <si>
    <t>CAND_0451</t>
  </si>
  <si>
    <t>typography, adobe creative suite, color theory, branding, photoshop, leadership, design</t>
  </si>
  <si>
    <t>Experienced graphic designer with 9 years working with typography, adobe creative suite, color theory</t>
  </si>
  <si>
    <t>CAND_0452</t>
  </si>
  <si>
    <t>Experienced digital marketer with 8 years working with problem solving, leadership</t>
  </si>
  <si>
    <t>CAND_0453</t>
  </si>
  <si>
    <t>critical thinking, ui/ux, adaptability, adobe creative suite, user research, leadership, prototyping, design</t>
  </si>
  <si>
    <t>Experienced ui ux designer with 7 years working with critical thinking, ui/ux, adaptability</t>
  </si>
  <si>
    <t>CAND_0454</t>
  </si>
  <si>
    <t>leadership, communication, time management, project management</t>
  </si>
  <si>
    <t>Experienced project manager with 1 years working with leadership, communication, time management</t>
  </si>
  <si>
    <t>CAND_0455</t>
  </si>
  <si>
    <t>java, time management, programming, teamwork, c++, ci/cd</t>
  </si>
  <si>
    <t>Experienced software developer with 2 years working with java, time management, programming</t>
  </si>
  <si>
    <t>CAND_0456</t>
  </si>
  <si>
    <t>go, docker, adaptability, creativity</t>
  </si>
  <si>
    <t>Experienced backend developer with 1 years working with go, docker, adaptability</t>
  </si>
  <si>
    <t>CAND_0457</t>
  </si>
  <si>
    <t>communication, swift, java, mobile, google play, leadership, problem solving, flutter</t>
  </si>
  <si>
    <t>Experienced mobile developer with 1 years working with communication, swift, java</t>
  </si>
  <si>
    <t>CAND_0458</t>
  </si>
  <si>
    <t>critical thinking, communication, technical skills, a/b testing, product management</t>
  </si>
  <si>
    <t>Experienced product manager with 12 years working with critical thinking, communication, technical skills</t>
  </si>
  <si>
    <t>CAND_0459</t>
  </si>
  <si>
    <t>design, ui/ux, communication, time management</t>
  </si>
  <si>
    <t>CAND_0460</t>
  </si>
  <si>
    <t>content writing, communication, time management, problem solving, social media</t>
  </si>
  <si>
    <t>CAND_0461</t>
  </si>
  <si>
    <t>linux, adaptability, windows, problem solving, networking, leadership, powershell</t>
  </si>
  <si>
    <t>Experienced system administrator with 0 years working with linux, adaptability, windows</t>
  </si>
  <si>
    <t>CAND_0462</t>
  </si>
  <si>
    <t>leadership, postgresql, javascript, html, css, sql</t>
  </si>
  <si>
    <t>Experienced fullstack developer with 0 years working with leadership, postgresql, javascript</t>
  </si>
  <si>
    <t>CAND_0463</t>
  </si>
  <si>
    <t>teamwork, leadership, a/b testing</t>
  </si>
  <si>
    <t>Experienced product manager with 6 years working with teamwork, leadership, a/b testing</t>
  </si>
  <si>
    <t>CAND_0464</t>
  </si>
  <si>
    <t>devops, creativity, leadership, microservices, nodejs</t>
  </si>
  <si>
    <t>Experienced fullstack developer with 10 years working with devops, creativity, leadership</t>
  </si>
  <si>
    <t>CAND_0465</t>
  </si>
  <si>
    <t>responsive design, webpack, teamwork, javascript, html, angular, css, sass</t>
  </si>
  <si>
    <t>Experienced frontend developer with 9 years working with responsive design, webpack, teamwork</t>
  </si>
  <si>
    <t>CAND_0466</t>
  </si>
  <si>
    <t>time management, statistics, leadership, powerbi</t>
  </si>
  <si>
    <t>Experienced data analyst with 6 years working with time management, statistics, leadership</t>
  </si>
  <si>
    <t>CAND_0467</t>
  </si>
  <si>
    <t>communication, c#, leadership, git, javascript</t>
  </si>
  <si>
    <t>Experienced software developer with 1 years working with communication, c#, leadership</t>
  </si>
  <si>
    <t>CAND_0468</t>
  </si>
  <si>
    <t>illustrator, indesign, communication, color theory, time management, teamwork</t>
  </si>
  <si>
    <t>Experienced graphic designer with 10 years working with illustrator, indesign, communication</t>
  </si>
  <si>
    <t>CAND_0469</t>
  </si>
  <si>
    <t>linux, adaptability, communication, docker, time management, azure, terraform, monitoring</t>
  </si>
  <si>
    <t>Experienced devops engineer with 11 years working with linux, adaptability, communication</t>
  </si>
  <si>
    <t>CAND_0470</t>
  </si>
  <si>
    <t>teamwork, communication, pytorch</t>
  </si>
  <si>
    <t>Experienced data scientist with 0 years working with teamwork, communication, pytorch</t>
  </si>
  <si>
    <t>CAND_0471</t>
  </si>
  <si>
    <t>adaptability, project management, stakeholder management, confluence, scrum</t>
  </si>
  <si>
    <t>Experienced project manager with 9 years working with adaptability, project management, stakeholder management</t>
  </si>
  <si>
    <t>CAND_0472</t>
  </si>
  <si>
    <t>python, agile, time management</t>
  </si>
  <si>
    <t>Experienced developer with 1 years working with python, agile, time management</t>
  </si>
  <si>
    <t>CAND_0473</t>
  </si>
  <si>
    <t>adaptability, creativity</t>
  </si>
  <si>
    <t>Experienced developer with 6 years working with adaptability, creativity</t>
  </si>
  <si>
    <t>CAND_0474</t>
  </si>
  <si>
    <t>statistics, data analysis, excel, tableau, problem solving, powerbi, reporting</t>
  </si>
  <si>
    <t>CAND_0475</t>
  </si>
  <si>
    <t>seo, time management, copywriting, social media</t>
  </si>
  <si>
    <t>Experienced content creator with 2 years working with seo, time management, copywriting</t>
  </si>
  <si>
    <t>CAND_0476</t>
  </si>
  <si>
    <t>r, leadership, teamwork, process modeling</t>
  </si>
  <si>
    <t>Experienced business analyst with 0 years working with r, leadership, teamwork</t>
  </si>
  <si>
    <t>CAND_0477</t>
  </si>
  <si>
    <t>critical thinking, pandas, statistics, excel, tableau, sql</t>
  </si>
  <si>
    <t>Experienced data analyst with 1 years working with critical thinking, pandas, statistics</t>
  </si>
  <si>
    <t>CAND_0478</t>
  </si>
  <si>
    <t>html, typescript, problem solving, php, javascript, angular, css, nodejs</t>
  </si>
  <si>
    <t>Experienced web developer with 5 years working with html, typescript, problem solving</t>
  </si>
  <si>
    <t>CAND_0479</t>
  </si>
  <si>
    <t>creativity, jenkins</t>
  </si>
  <si>
    <t>Experienced devops engineer with 1 years working with creativity, jenkins</t>
  </si>
  <si>
    <t>CAND_0480</t>
  </si>
  <si>
    <t>critical thinking, indesign, adobe creative suite, color theory, creativity, photoshop, print design, problem solving, design</t>
  </si>
  <si>
    <t>Experienced graphic designer with 1 years working with critical thinking, indesign, adobe creative suite</t>
  </si>
  <si>
    <t>CAND_0481</t>
  </si>
  <si>
    <t>selenium, leadership, manual testing, bug tracking</t>
  </si>
  <si>
    <t>Experienced qa engineer with 1 years working with selenium, leadership, manual testing</t>
  </si>
  <si>
    <t>CAND_0482</t>
  </si>
  <si>
    <t>time management, prometheus, communication, ansible</t>
  </si>
  <si>
    <t>Experienced devops engineer with 1 years working with time management, prometheus, communication</t>
  </si>
  <si>
    <t>CAND_0483</t>
  </si>
  <si>
    <t>problem solving, active directory, leadership, creativity</t>
  </si>
  <si>
    <t>Experienced system administrator with 4 years working with problem solving, active directory, leadership</t>
  </si>
  <si>
    <t>CAND_0484</t>
  </si>
  <si>
    <t>adaptability, time management, webpack, leadership, php, nodejs, postgresql</t>
  </si>
  <si>
    <t>Experienced web developer with 8 years working with adaptability, time management, webpack</t>
  </si>
  <si>
    <t>CAND_0485</t>
  </si>
  <si>
    <t>mobile, creativity, adaptability</t>
  </si>
  <si>
    <t>Experienced mobile developer with 9 years working with mobile, creativity, adaptability</t>
  </si>
  <si>
    <t>CAND_0486</t>
  </si>
  <si>
    <t>time management, creativity, webpack, react, leadership, javascript, html, angular, css, sass</t>
  </si>
  <si>
    <t>Experienced frontend developer with 0 years working with time management, creativity, webpack</t>
  </si>
  <si>
    <t>CAND_0487</t>
  </si>
  <si>
    <t>python, communication, testing, creativity, teamwork</t>
  </si>
  <si>
    <t>CAND_0488</t>
  </si>
  <si>
    <t>critical thinking, communication, technical skills, teamwork, product management, sql</t>
  </si>
  <si>
    <t>Experienced product manager with 5 years working with critical thinking, communication, technical skills</t>
  </si>
  <si>
    <t>CAND_0489</t>
  </si>
  <si>
    <t>communication, adobe creative suite, leadership, sketch, figma</t>
  </si>
  <si>
    <t>Experienced ui ux designer with 0 years working with communication, adobe creative suite, leadership</t>
  </si>
  <si>
    <t>CAND_0490</t>
  </si>
  <si>
    <t>problem solving, leadership, sql</t>
  </si>
  <si>
    <t>Experienced analyst with 10 years working with problem solving, leadership, sql</t>
  </si>
  <si>
    <t>CAND_0491</t>
  </si>
  <si>
    <t>illustrator, adobe creative suite, time management, photoshop, print design, design</t>
  </si>
  <si>
    <t>Experienced graphic designer with 0 years working with illustrator, adobe creative suite, time management</t>
  </si>
  <si>
    <t>CAND_0492</t>
  </si>
  <si>
    <t>adaptability, sketch, user research, figma</t>
  </si>
  <si>
    <t>Experienced ui ux designer with 7 years working with adaptability, sketch, user research</t>
  </si>
  <si>
    <t>CAND_0493</t>
  </si>
  <si>
    <t>java, creativity, programming, problem solving, teamwork, javascript, sql</t>
  </si>
  <si>
    <t>Experienced developer with 0 years working with java, creativity, programming</t>
  </si>
  <si>
    <t>CAND_0494</t>
  </si>
  <si>
    <t>critical thinking, adobe creative suite, color theory, time management, photoshop, leadership, design</t>
  </si>
  <si>
    <t>Experienced graphic designer with 0 years working with critical thinking, adobe creative suite, color theory</t>
  </si>
  <si>
    <t>CAND_0495</t>
  </si>
  <si>
    <t>critical thinking, communication, technical skills, user research, product management, agile, wireframing</t>
  </si>
  <si>
    <t>CAND_0496</t>
  </si>
  <si>
    <t>communication, creativity, leadership, prototyping, design, css</t>
  </si>
  <si>
    <t>Experienced designer with 2 years working with communication, creativity, leadership</t>
  </si>
  <si>
    <t>CAND_0497</t>
  </si>
  <si>
    <t>adaptability, mongodb, javascript, html, css, nodejs</t>
  </si>
  <si>
    <t>Experienced web developer with 10 years working with adaptability, mongodb, javascript</t>
  </si>
  <si>
    <t>CAND_0498</t>
  </si>
  <si>
    <t>adaptability</t>
  </si>
  <si>
    <t>Experienced qa engineer with 0 years working with adaptability</t>
  </si>
  <si>
    <t>CAND_0499</t>
  </si>
  <si>
    <t>digital marketing, email marketing, sem, time management, creativity, content marketing, google ads</t>
  </si>
  <si>
    <t>Experienced digital marketer with 10 years working with digital marketing, email marketing, sem</t>
  </si>
  <si>
    <t>CAND_0500</t>
  </si>
  <si>
    <t>communication, webpack, vue, leadership, angular, nodejs, postgresql</t>
  </si>
  <si>
    <t>Experienced web developer with 0 years working with communication, webpack, vue</t>
  </si>
  <si>
    <t>CAND_0501</t>
  </si>
  <si>
    <t>problem solving, leadership, adaptability</t>
  </si>
  <si>
    <t>Experienced devops engineer with 11 years working with problem solving, leadership, adaptability</t>
  </si>
  <si>
    <t>CAND_0502</t>
  </si>
  <si>
    <t>adaptability, java, creativity, leadership, agile</t>
  </si>
  <si>
    <t>Experienced developer with 7 years working with adaptability, java, creativity</t>
  </si>
  <si>
    <t>CAND_0503</t>
  </si>
  <si>
    <t>communication, react, postgresql, mongodb, javascript, html, css, sql</t>
  </si>
  <si>
    <t>Experienced fullstack developer with 9 years working with communication, react, postgresql</t>
  </si>
  <si>
    <t>CAND_0504</t>
  </si>
  <si>
    <t>Experienced software developer with 8 years working with critical thinking</t>
  </si>
  <si>
    <t>CAND_0505</t>
  </si>
  <si>
    <t>critical thinking, seo, content writing, communication, copywriting, analytics, leadership, teamwork, wordpress, social media</t>
  </si>
  <si>
    <t>Experienced content creator with 1 years working with critical thinking, seo, content writing</t>
  </si>
  <si>
    <t>CAND_0506</t>
  </si>
  <si>
    <t>pandas, communication, statistics, excel, machine learning, teamwork, r, sql</t>
  </si>
  <si>
    <t>Experienced data analyst with 2 years working with pandas, communication, statistics</t>
  </si>
  <si>
    <t>CAND_0507</t>
  </si>
  <si>
    <t>design, adaptability, prototyping</t>
  </si>
  <si>
    <t>Experienced designer with 0 years working with design, adaptability, prototyping</t>
  </si>
  <si>
    <t>CAND_0508</t>
  </si>
  <si>
    <t>linux, docker, creativity, leadership, teamwork</t>
  </si>
  <si>
    <t>Experienced devops engineer with 5 years working with linux, docker, creativity</t>
  </si>
  <si>
    <t>CAND_0509</t>
  </si>
  <si>
    <t>teamwork, c#, creativity</t>
  </si>
  <si>
    <t>Experienced software developer with 4 years working with teamwork, c#, creativity</t>
  </si>
  <si>
    <t>CAND_0510</t>
  </si>
  <si>
    <t>critical thinking, responsive design, leadership, javascript, html, angular, css</t>
  </si>
  <si>
    <t>Experienced frontend developer with 1 years working with critical thinking, responsive design, leadership</t>
  </si>
  <si>
    <t>CAND_0511</t>
  </si>
  <si>
    <t>critical thinking, communication, devops, postgresql, mongodb, javascript, html, css, nodejs, sql</t>
  </si>
  <si>
    <t>Experienced fullstack developer with 11 years working with critical thinking, communication, devops</t>
  </si>
  <si>
    <t>CAND_0512</t>
  </si>
  <si>
    <t>python, api, java, creativity, php, microservices, sql</t>
  </si>
  <si>
    <t>Experienced backend developer with 7 years working with python, api, java</t>
  </si>
  <si>
    <t>CAND_0513</t>
  </si>
  <si>
    <t>linux, communication, windows, active directory, bash, creativity, problem solving, powershell, vmware</t>
  </si>
  <si>
    <t>Experienced system administrator with 6 years working with linux, communication, windows</t>
  </si>
  <si>
    <t>CAND_0514</t>
  </si>
  <si>
    <t>teamwork, microservices, devops, creativity</t>
  </si>
  <si>
    <t>Experienced fullstack developer with 12 years working with teamwork, microservices, devops</t>
  </si>
  <si>
    <t>CAND_0515</t>
  </si>
  <si>
    <t>communication, creativity, user research, analytics, leadership, product management, agile</t>
  </si>
  <si>
    <t>Experienced product manager with 0 years working with communication, creativity, user research</t>
  </si>
  <si>
    <t>CAND_0516</t>
  </si>
  <si>
    <t>adaptability, testing, performance testing, problem solving, manual testing, quality assurance, selenium, bug tracking</t>
  </si>
  <si>
    <t>Experienced qa engineer with 8 years working with adaptability, testing, performance testing</t>
  </si>
  <si>
    <t>CAND_0517</t>
  </si>
  <si>
    <t>python, adaptability, time management, sql</t>
  </si>
  <si>
    <t>Experienced data scientist with 8 years working with python, adaptability, time management</t>
  </si>
  <si>
    <t>CAND_0518</t>
  </si>
  <si>
    <t>critical thinking, teamwork, creativity, user research</t>
  </si>
  <si>
    <t>Experienced ui ux designer with 9 years working with critical thinking, teamwork, creativity</t>
  </si>
  <si>
    <t>CAND_0519</t>
  </si>
  <si>
    <t>Experienced product manager with 5 years working with creativity</t>
  </si>
  <si>
    <t>CAND_0520</t>
  </si>
  <si>
    <t>critical thinking, python, adaptability, deep learning, statistics, tensorflow, sql</t>
  </si>
  <si>
    <t>Experienced data scientist with 6 years working with critical thinking, python, adaptability</t>
  </si>
  <si>
    <t>CAND_0521</t>
  </si>
  <si>
    <t>critical thinking, time management, devops, javascript, html, css, sql</t>
  </si>
  <si>
    <t>Experienced fullstack developer with 6 years working with critical thinking, time management, devops</t>
  </si>
  <si>
    <t>CAND_0522</t>
  </si>
  <si>
    <t>leadership, teamwork, communication</t>
  </si>
  <si>
    <t>Experienced fullstack developer with 7 years working with leadership, teamwork, communication</t>
  </si>
  <si>
    <t>CAND_0523</t>
  </si>
  <si>
    <t>adaptability, creativity, excel, tableau, sql</t>
  </si>
  <si>
    <t>Experienced business analyst with 0 years working with adaptability, creativity, excel</t>
  </si>
  <si>
    <t>CAND_0524</t>
  </si>
  <si>
    <t>adaptability, java, time management, creativity, c#, c++, git, ci/cd</t>
  </si>
  <si>
    <t>Experienced software developer with 5 years working with adaptability, java, time management</t>
  </si>
  <si>
    <t>CAND_0525</t>
  </si>
  <si>
    <t>time management, teamwork, html</t>
  </si>
  <si>
    <t>Experienced ui ux designer with 0 years working with time management, teamwork, html</t>
  </si>
  <si>
    <t>CAND_0526</t>
  </si>
  <si>
    <t>html, adaptability, webpack, vue, php, javascript, css, postgresql</t>
  </si>
  <si>
    <t>Experienced web developer with 6 years working with html, adaptability, webpack</t>
  </si>
  <si>
    <t>CAND_0527</t>
  </si>
  <si>
    <t>sem, time management, analytics, problem solving, teamwork, google ads</t>
  </si>
  <si>
    <t>Experienced digital marketer with 0 years working with sem, time management, analytics</t>
  </si>
  <si>
    <t>CAND_0528</t>
  </si>
  <si>
    <t>docker, linux, communication, aws</t>
  </si>
  <si>
    <t>Experienced devops engineer with 5 years working with docker, linux, communication</t>
  </si>
  <si>
    <t>CAND_0529</t>
  </si>
  <si>
    <t>web design, typography, adobe creative suite, problem solving, design</t>
  </si>
  <si>
    <t>Experienced graphic designer with 2 years working with web design, typography, adobe creative suite</t>
  </si>
  <si>
    <t>CAND_0530</t>
  </si>
  <si>
    <t>critical thinking, creativity, typescript, vue, problem solving, mongodb, angular, nodejs</t>
  </si>
  <si>
    <t>Experienced web developer with 11 years working with critical thinking, creativity, typescript</t>
  </si>
  <si>
    <t>CAND_0531</t>
  </si>
  <si>
    <t>powerbi, time management, reporting, tableau</t>
  </si>
  <si>
    <t>Experienced analyst with 1 years working with powerbi, time management, reporting</t>
  </si>
  <si>
    <t>CAND_0532</t>
  </si>
  <si>
    <t>problem solving, adaptability</t>
  </si>
  <si>
    <t>Experienced system administrator with 5 years working with problem solving, adaptability</t>
  </si>
  <si>
    <t>CAND_0533</t>
  </si>
  <si>
    <t>adaptability, react, vue, javascript, html, angular, css</t>
  </si>
  <si>
    <t>Experienced web developer with 2 years working with adaptability, react, vue</t>
  </si>
  <si>
    <t>CAND_0534</t>
  </si>
  <si>
    <t>teamwork, css, communication, figma</t>
  </si>
  <si>
    <t>Experienced ui ux designer with 8 years working with teamwork, css, communication</t>
  </si>
  <si>
    <t>CAND_0535</t>
  </si>
  <si>
    <t>pandas, statistics, creativity, leadership, tensorflow</t>
  </si>
  <si>
    <t>Experienced data scientist with 6 years working with pandas, statistics, creativity</t>
  </si>
  <si>
    <t>CAND_0536</t>
  </si>
  <si>
    <t>testing, api testing, performance testing, leadership, problem solving, manual testing, quality assurance</t>
  </si>
  <si>
    <t>Experienced qa engineer with 1 years working with testing, api testing, performance testing</t>
  </si>
  <si>
    <t>CAND_0537</t>
  </si>
  <si>
    <t>jira, project management, leadership, teamwork, scrum</t>
  </si>
  <si>
    <t>Experienced project manager with 2 years working with jira, project management, leadership</t>
  </si>
  <si>
    <t>CAND_0538</t>
  </si>
  <si>
    <t>indesign, illustrator, adobe creative suite, creativity, print design, leadership, design</t>
  </si>
  <si>
    <t>Experienced graphic designer with 0 years working with indesign, illustrator, adobe creative suite</t>
  </si>
  <si>
    <t>CAND_0539</t>
  </si>
  <si>
    <t>pandas, time management, statistics, excel, machine learning, sql</t>
  </si>
  <si>
    <t>Experienced data analyst with 0 years working with pandas, time management, statistics</t>
  </si>
  <si>
    <t>CAND_0540</t>
  </si>
  <si>
    <t>critical thinking, communication, technical skills, a/b testing, analytics, problem solving, teamwork, product management</t>
  </si>
  <si>
    <t>Experienced product manager with 6 years working with critical thinking, communication, technical skills</t>
  </si>
  <si>
    <t>CAND_0541</t>
  </si>
  <si>
    <t>mobile, communication, kotlin</t>
  </si>
  <si>
    <t>Experienced mobile developer with 7 years working with mobile, communication, kotlin</t>
  </si>
  <si>
    <t>CAND_0542</t>
  </si>
  <si>
    <t>leadership, creativity, communication</t>
  </si>
  <si>
    <t>Experienced system administrator with 1 years working with leadership, creativity, communication</t>
  </si>
  <si>
    <t>CAND_0543</t>
  </si>
  <si>
    <t>linux, windows, bash, creativity, security, powershell, vmware, hyper-v</t>
  </si>
  <si>
    <t>Experienced system administrator with 6 years working with linux, windows, bash</t>
  </si>
  <si>
    <t>CAND_0544</t>
  </si>
  <si>
    <t>illustrator, indesign, web design, adobe creative suite, color theory, time management, photoshop, leadership, design</t>
  </si>
  <si>
    <t>Experienced graphic designer with 0 years working with illustrator, indesign, web design</t>
  </si>
  <si>
    <t>CAND_0545</t>
  </si>
  <si>
    <t>time management, creativity, facebook ads, email marketing</t>
  </si>
  <si>
    <t>Experienced digital marketer with 5 years working with time management, creativity, facebook ads</t>
  </si>
  <si>
    <t>CAND_0546</t>
  </si>
  <si>
    <t>adaptability, monitoring, critical thinking, active directory</t>
  </si>
  <si>
    <t>Experienced system administrator with 1 years working with adaptability, monitoring, critical thinking</t>
  </si>
  <si>
    <t>CAND_0547</t>
  </si>
  <si>
    <t>problem solving, data analysis, excel</t>
  </si>
  <si>
    <t>Experienced analyst with 9 years working with problem solving, data analysis, excel</t>
  </si>
  <si>
    <t>CAND_0548</t>
  </si>
  <si>
    <t>testing, time management, problem solving, leadership, manual testing, quality assurance, selenium, bug tracking</t>
  </si>
  <si>
    <t>Experienced qa engineer with 1 years working with testing, time management, problem solving</t>
  </si>
  <si>
    <t>CAND_0549</t>
  </si>
  <si>
    <t>critical thinking, communication, project management, risk management, time management, scrum</t>
  </si>
  <si>
    <t>Experienced project manager with 2 years working with critical thinking, communication, project management</t>
  </si>
  <si>
    <t>CAND_0550</t>
  </si>
  <si>
    <t>critical thinking, design, leadership, figma</t>
  </si>
  <si>
    <t>Experienced designer with 2 years working with critical thinking, design, leadership</t>
  </si>
  <si>
    <t>CAND_0551</t>
  </si>
  <si>
    <t>critical thinking, creativity, stakeholder management, scrum, pmp</t>
  </si>
  <si>
    <t>Experienced project manager with 0 years working with critical thinking, creativity, stakeholder management</t>
  </si>
  <si>
    <t>CAND_0552</t>
  </si>
  <si>
    <t>communication, react, vue, teamwork, figma</t>
  </si>
  <si>
    <t>Experienced frontend developer with 2 years working with communication, react, vue</t>
  </si>
  <si>
    <t>CAND_0553</t>
  </si>
  <si>
    <t>critical thinking, ui/ux, adobe creative suite, prototyping, wireframing, design, css, figma</t>
  </si>
  <si>
    <t>Experienced ui ux designer with 9 years working with critical thinking, ui/ux, adobe creative suite</t>
  </si>
  <si>
    <t>CAND_0554</t>
  </si>
  <si>
    <t>photoshop, teamwork, creativity, indesign</t>
  </si>
  <si>
    <t>Experienced graphic designer with 2 years working with photoshop, teamwork, creativity</t>
  </si>
  <si>
    <t>CAND_0555</t>
  </si>
  <si>
    <t>critical thinking, creativity, terraform, kubernetes</t>
  </si>
  <si>
    <t>Experienced devops engineer with 10 years working with critical thinking, creativity, terraform</t>
  </si>
  <si>
    <t>CAND_0556</t>
  </si>
  <si>
    <t>Experienced mobile developer with 1 years working with adaptability, creativity</t>
  </si>
  <si>
    <t>CAND_0557</t>
  </si>
  <si>
    <t>creativity, requirements analysis, excel, business intelligence, tableau, problem solving, teamwork, agile, r, sql</t>
  </si>
  <si>
    <t>Experienced business analyst with 2 years working with creativity, requirements analysis, excel</t>
  </si>
  <si>
    <t>CAND_0558</t>
  </si>
  <si>
    <t>critical thinking, java, sql</t>
  </si>
  <si>
    <t>Experienced developer with 1 years working with critical thinking, java, sql</t>
  </si>
  <si>
    <t>CAND_0559</t>
  </si>
  <si>
    <t>leadership, teamwork</t>
  </si>
  <si>
    <t>Experienced business analyst with 7 years working with leadership, teamwork</t>
  </si>
  <si>
    <t>CAND_0560</t>
  </si>
  <si>
    <t>vue, angular, leadership, php</t>
  </si>
  <si>
    <t>Experienced web developer with 3 years working with vue, angular, leadership</t>
  </si>
  <si>
    <t>CAND_0561</t>
  </si>
  <si>
    <t>stakeholder management, communication, project management</t>
  </si>
  <si>
    <t>Experienced project manager with 11 years working with stakeholder management, communication, project management</t>
  </si>
  <si>
    <t>CAND_0562</t>
  </si>
  <si>
    <t>communication, c#, nodejs</t>
  </si>
  <si>
    <t>Experienced backend developer with 0 years working with communication, c#, nodejs</t>
  </si>
  <si>
    <t>CAND_0563</t>
  </si>
  <si>
    <t>responsive design, react, leadership, javascript, html, css</t>
  </si>
  <si>
    <t>Experienced frontend developer with 0 years working with responsive design, react, leadership</t>
  </si>
  <si>
    <t>CAND_0564</t>
  </si>
  <si>
    <t>leadership, creativity, c#, javascript</t>
  </si>
  <si>
    <t>Experienced software developer with 11 years working with leadership, creativity, c#</t>
  </si>
  <si>
    <t>CAND_0565</t>
  </si>
  <si>
    <t>teamwork, adaptability, quality assurance, testing</t>
  </si>
  <si>
    <t>Experienced qa engineer with 2 years working with teamwork, adaptability, quality assurance</t>
  </si>
  <si>
    <t>CAND_0566</t>
  </si>
  <si>
    <t>python, teamwork, ci/cd, communication</t>
  </si>
  <si>
    <t>Experienced software developer with 7 years working with python, teamwork, ci/cd</t>
  </si>
  <si>
    <t>CAND_0567</t>
  </si>
  <si>
    <t>critical thinking, linux, adaptability, communication, windows, vmware</t>
  </si>
  <si>
    <t>Experienced system administrator with 2 years working with critical thinking, linux, adaptability</t>
  </si>
  <si>
    <t>CAND_0568</t>
  </si>
  <si>
    <t>Experienced qa engineer with 0 years working with critical thinking</t>
  </si>
  <si>
    <t>CAND_0569</t>
  </si>
  <si>
    <t>hadoop, machine learning, adaptability</t>
  </si>
  <si>
    <t>Experienced data scientist with 9 years working with hadoop, machine learning, adaptability</t>
  </si>
  <si>
    <t>CAND_0570</t>
  </si>
  <si>
    <t>pandas, statistics, excel, creativity, tableau, machine learning, teamwork, sql</t>
  </si>
  <si>
    <t>Experienced data analyst with 1 years working with pandas, statistics, excel</t>
  </si>
  <si>
    <t>CAND_0571</t>
  </si>
  <si>
    <t>adaptability, creativity, react, javascript, html, css</t>
  </si>
  <si>
    <t>Experienced web developer with 2 years working with adaptability, creativity, react</t>
  </si>
  <si>
    <t>CAND_0572</t>
  </si>
  <si>
    <t>hadoop, critical thinking, pytorch</t>
  </si>
  <si>
    <t>Experienced data scientist with 11 years working with hadoop, critical thinking, pytorch</t>
  </si>
  <si>
    <t>CAND_0573</t>
  </si>
  <si>
    <t>html, time management, vue, php, javascript, angular, css</t>
  </si>
  <si>
    <t>Experienced web developer with 8 years working with html, time management, vue</t>
  </si>
  <si>
    <t>CAND_0574</t>
  </si>
  <si>
    <t>time management, webpack, sass, leadership</t>
  </si>
  <si>
    <t>Experienced web developer with 10 years working with time management, webpack, sass</t>
  </si>
  <si>
    <t>CAND_0575</t>
  </si>
  <si>
    <t>linux, communication, kubernetes, docker, grafana, jenkins, aws</t>
  </si>
  <si>
    <t>Experienced devops engineer with 3 years working with linux, communication, kubernetes</t>
  </si>
  <si>
    <t>CAND_0576</t>
  </si>
  <si>
    <t>creativity, vue, leadership, problem solving, mongodb, javascript, html, angular, css</t>
  </si>
  <si>
    <t>Experienced web developer with 6 years working with creativity, vue, leadership</t>
  </si>
  <si>
    <t>CAND_0577</t>
  </si>
  <si>
    <t>python, api, creativity, c#, problem solving, leadership, php, sql</t>
  </si>
  <si>
    <t>Experienced backend developer with 0 years working with python, api, creativity</t>
  </si>
  <si>
    <t>CAND_0578</t>
  </si>
  <si>
    <t>problem solving, api, aws, sql</t>
  </si>
  <si>
    <t>Experienced backend developer with 5 years working with problem solving, api, aws</t>
  </si>
  <si>
    <t>CAND_0579</t>
  </si>
  <si>
    <t>problem solving, deep learning, statistics, pandas</t>
  </si>
  <si>
    <t>Experienced data scientist with 3 years working with problem solving, deep learning, statistics</t>
  </si>
  <si>
    <t>CAND_0580</t>
  </si>
  <si>
    <t>illustrator, web design, adobe creative suite, time management, problem solving, teamwork, design</t>
  </si>
  <si>
    <t>Experienced graphic designer with 0 years working with illustrator, web design, adobe creative suite</t>
  </si>
  <si>
    <t>CAND_0581</t>
  </si>
  <si>
    <t>design, teamwork, ui/ux, time management</t>
  </si>
  <si>
    <t>Experienced designer with 0 years working with design, teamwork, ui/ux</t>
  </si>
  <si>
    <t>CAND_0582</t>
  </si>
  <si>
    <t>creativity, webpack, react, vue, problem solving, angular</t>
  </si>
  <si>
    <t>Experienced frontend developer with 3 years working with creativity, webpack, react</t>
  </si>
  <si>
    <t>CAND_0583</t>
  </si>
  <si>
    <t>adaptability, adobe creative suite, creativity, problem solving, prototyping, html, sketch</t>
  </si>
  <si>
    <t>Experienced ui ux designer with 3 years working with adaptability, adobe creative suite, creativity</t>
  </si>
  <si>
    <t>CAND_0584</t>
  </si>
  <si>
    <t>adaptability, a/b testing, product management, communication</t>
  </si>
  <si>
    <t>Experienced product manager with 3 years working with adaptability, a/b testing, product management</t>
  </si>
  <si>
    <t>CAND_0585</t>
  </si>
  <si>
    <t>linux, adaptability, docker, problem solving, leadership</t>
  </si>
  <si>
    <t>Experienced devops engineer with 6 years working with linux, adaptability, docker</t>
  </si>
  <si>
    <t>CAND_0586</t>
  </si>
  <si>
    <t>critical thinking, api, creativity, go, leadership, aws, sql</t>
  </si>
  <si>
    <t>Experienced backend developer with 1 years working with critical thinking, api, creativity</t>
  </si>
  <si>
    <t>CAND_0587</t>
  </si>
  <si>
    <t>time management, problem solving, mongodb, javascript, html, css, sql</t>
  </si>
  <si>
    <t>Experienced fullstack developer with 10 years working with time management, problem solving, mongodb</t>
  </si>
  <si>
    <t>CAND_0588</t>
  </si>
  <si>
    <t>critical thinking, problem solving, leadership, javascript, html, css, sass, postgresql</t>
  </si>
  <si>
    <t>Experienced web developer with 2 years working with critical thinking, problem solving, leadership</t>
  </si>
  <si>
    <t>CAND_0589</t>
  </si>
  <si>
    <t>security, linux, windows, creativity</t>
  </si>
  <si>
    <t>Experienced system administrator with 1 years working with security, linux, windows</t>
  </si>
  <si>
    <t>CAND_0590</t>
  </si>
  <si>
    <t>python, api, time management, creativity, c#, leadership, php, aws, sql</t>
  </si>
  <si>
    <t>Experienced backend developer with 0 years working with python, api, time management</t>
  </si>
  <si>
    <t>CAND_0591</t>
  </si>
  <si>
    <t>critical thinking, adobe creative suite, user research, teamwork, sketch, css, figma</t>
  </si>
  <si>
    <t>Experienced ui ux designer with 0 years working with critical thinking, adobe creative suite, user research</t>
  </si>
  <si>
    <t>CAND_0592</t>
  </si>
  <si>
    <t>creativity, typescript, javascript, html, css, sass, nodejs</t>
  </si>
  <si>
    <t>Experienced web developer with 9 years working with creativity, typescript, javascript</t>
  </si>
  <si>
    <t>CAND_0593</t>
  </si>
  <si>
    <t>seo, leadership, communication, social media</t>
  </si>
  <si>
    <t>Experienced content creator with 0 years working with seo, leadership, communication</t>
  </si>
  <si>
    <t>CAND_0594</t>
  </si>
  <si>
    <t>time management, vue, leadership, teamwork, javascript, html, angular, css, sass</t>
  </si>
  <si>
    <t>Experienced frontend developer with 1 years working with time management, vue, leadership</t>
  </si>
  <si>
    <t>CAND_0595</t>
  </si>
  <si>
    <t>time management, teamwork, aws, ansible</t>
  </si>
  <si>
    <t>Experienced devops engineer with 3 years working with time management, teamwork, aws</t>
  </si>
  <si>
    <t>CAND_0596</t>
  </si>
  <si>
    <t>digital marketing, sem, time management, problem solving, leadership, social media, google ads</t>
  </si>
  <si>
    <t>Experienced digital marketer with 1 years working with digital marketing, sem, time management</t>
  </si>
  <si>
    <t>CAND_0597</t>
  </si>
  <si>
    <t>time management, copywriting, social media, content strategy</t>
  </si>
  <si>
    <t>Experienced content creator with 9 years working with time management, copywriting, social media</t>
  </si>
  <si>
    <t>CAND_0598</t>
  </si>
  <si>
    <t>adaptability, communication, programming, git, agile</t>
  </si>
  <si>
    <t>Experienced developer with 8 years working with adaptability, communication, programming</t>
  </si>
  <si>
    <t>CAND_0599</t>
  </si>
  <si>
    <t>technical skills, roadmap planning, a/b testing, creativity, agile</t>
  </si>
  <si>
    <t>Experienced product manager with 8 years working with technical skills, roadmap planning, a/b testing</t>
  </si>
  <si>
    <t>CAND_0600</t>
  </si>
  <si>
    <t>photoshop, teamwork, indesign</t>
  </si>
  <si>
    <t>Experienced graphic designer with 7 years working with photoshop, teamwork, indesign</t>
  </si>
  <si>
    <t>CAND_0601</t>
  </si>
  <si>
    <t>critical thinking, responsive design, typescript, vue, teamwork, javascript, html, angular, css</t>
  </si>
  <si>
    <t>Experienced frontend developer with 4 years working with critical thinking, responsive design, typescript</t>
  </si>
  <si>
    <t>CAND_0602</t>
  </si>
  <si>
    <t>web design, adobe creative suite, photoshop, print design, problem solving, design</t>
  </si>
  <si>
    <t>Experienced graphic designer with 1 years working with web design, adobe creative suite, photoshop</t>
  </si>
  <si>
    <t>CAND_0603</t>
  </si>
  <si>
    <t>critical thinking, leadership</t>
  </si>
  <si>
    <t>Experienced developer with 7 years working with critical thinking, leadership</t>
  </si>
  <si>
    <t>CAND_0604</t>
  </si>
  <si>
    <t>linux, powershell, windows, creativity</t>
  </si>
  <si>
    <t>Experienced system administrator with 5 years working with linux, powershell, windows</t>
  </si>
  <si>
    <t>CAND_0605</t>
  </si>
  <si>
    <t>graphic design, time management, analytics</t>
  </si>
  <si>
    <t>Experienced content creator with 3 years working with graphic design, time management, analytics</t>
  </si>
  <si>
    <t>CAND_0606</t>
  </si>
  <si>
    <t>Experienced devops engineer with 0 years working with critical thinking, linux, communication</t>
  </si>
  <si>
    <t>CAND_0607</t>
  </si>
  <si>
    <t>graphic design, content writing, communication, time management, leadership</t>
  </si>
  <si>
    <t>Experienced content creator with 1 years working with graphic design, content writing, communication</t>
  </si>
  <si>
    <t>CAND_0608</t>
  </si>
  <si>
    <t>api, go, leadership, azure, nodejs, sql</t>
  </si>
  <si>
    <t>Experienced backend developer with 3 years working with api, go, leadership</t>
  </si>
  <si>
    <t>CAND_0609</t>
  </si>
  <si>
    <t>communication, time management, creativity, javascript, html, css, figma</t>
  </si>
  <si>
    <t>Experienced frontend developer with 0 years working with communication, time management, creativity</t>
  </si>
  <si>
    <t>CAND_0610</t>
  </si>
  <si>
    <t>communication, data analysis, excel, leadership, sql</t>
  </si>
  <si>
    <t>Experienced analyst with 4 years working with communication, data analysis, excel</t>
  </si>
  <si>
    <t>CAND_0611</t>
  </si>
  <si>
    <t>critical thinking, creativity, excel, problem solving, sql</t>
  </si>
  <si>
    <t>Experienced data analyst with 7 years working with critical thinking, creativity, excel</t>
  </si>
  <si>
    <t>CAND_0612</t>
  </si>
  <si>
    <t>adaptability, creativity, problem solving, javascript, html, css, figma</t>
  </si>
  <si>
    <t>Experienced frontend developer with 1 years working with adaptability, creativity, problem solving</t>
  </si>
  <si>
    <t>CAND_0613</t>
  </si>
  <si>
    <t>hadoop, statistics, leadership, teamwork, scipy</t>
  </si>
  <si>
    <t>Experienced data scientist with 6 years working with hadoop, statistics, leadership</t>
  </si>
  <si>
    <t>CAND_0614</t>
  </si>
  <si>
    <t>adaptability, communication, creativity, javascript, html, css</t>
  </si>
  <si>
    <t>Experienced web developer with 6 years working with adaptability, communication, creativity</t>
  </si>
  <si>
    <t>CAND_0615</t>
  </si>
  <si>
    <t>digital marketing, critical thinking, adaptability, conversion optimization, teamwork</t>
  </si>
  <si>
    <t>Experienced digital marketer with 9 years working with digital marketing, critical thinking, adaptability</t>
  </si>
  <si>
    <t>CAND_0616</t>
  </si>
  <si>
    <t>content writing, communication, time management, leadership, problem solving, video editing</t>
  </si>
  <si>
    <t>CAND_0617</t>
  </si>
  <si>
    <t>Experienced developer with 6 years working with leadership, teamwork, communication</t>
  </si>
  <si>
    <t>CAND_0618</t>
  </si>
  <si>
    <t>adobe creative suite, design, creativity, prototyping</t>
  </si>
  <si>
    <t>Experienced designer with 4 years working with adobe creative suite, design, creativity</t>
  </si>
  <si>
    <t>CAND_0619</t>
  </si>
  <si>
    <t>communication, excel, agile, powerbi, process modeling, sql</t>
  </si>
  <si>
    <t>Experienced business analyst with 5 years working with communication, excel, agile</t>
  </si>
  <si>
    <t>CAND_0620</t>
  </si>
  <si>
    <t>digital marketing, conversion optimization, facebook ads, leadership, content marketing</t>
  </si>
  <si>
    <t>Experienced digital marketer with 1 years working with digital marketing, conversion optimization, facebook ads</t>
  </si>
  <si>
    <t>CAND_0621</t>
  </si>
  <si>
    <t>adaptability, communication, project management, time management, leadership, scrum, pmp</t>
  </si>
  <si>
    <t>Experienced project manager with 9 years working with adaptability, communication, project management</t>
  </si>
  <si>
    <t>CAND_0622</t>
  </si>
  <si>
    <t>design, adaptability, css, communication</t>
  </si>
  <si>
    <t>Experienced designer with 0 years working with design, adaptability, css</t>
  </si>
  <si>
    <t>CAND_0623</t>
  </si>
  <si>
    <t>critical thinking, adaptability, leadership, prototyping, design, css</t>
  </si>
  <si>
    <t>Experienced designer with 0 years working with critical thinking, adaptability, leadership</t>
  </si>
  <si>
    <t>CAND_0624</t>
  </si>
  <si>
    <t>digital marketing, communication, conversion optimization, time management, leadership, social media</t>
  </si>
  <si>
    <t>Experienced digital marketer with 5 years working with digital marketing, communication, conversion optimization</t>
  </si>
  <si>
    <t>CAND_0625</t>
  </si>
  <si>
    <t>communication, web design</t>
  </si>
  <si>
    <t>Experienced graphic designer with 0 years working with communication, web design</t>
  </si>
  <si>
    <t>CAND_0626</t>
  </si>
  <si>
    <t>critical thinking, ui/ux, communication, creativity, design</t>
  </si>
  <si>
    <t>Experienced ui ux designer with 9 years working with critical thinking, ui/ux, communication</t>
  </si>
  <si>
    <t>CAND_0627</t>
  </si>
  <si>
    <t>python, creativity, programming, leadership, teamwork, javascript</t>
  </si>
  <si>
    <t>Experienced software developer with 7 years working with python, creativity, programming</t>
  </si>
  <si>
    <t>CAND_0628</t>
  </si>
  <si>
    <t>linux, adaptability, windows, vmware, security, networking, problem solving, powershell, active directory</t>
  </si>
  <si>
    <t>Experienced system administrator with 7 years working with linux, adaptability, windows</t>
  </si>
  <si>
    <t>CAND_0629</t>
  </si>
  <si>
    <t>python, time management, programming</t>
  </si>
  <si>
    <t>Experienced software developer with 5 years working with python, time management, programming</t>
  </si>
  <si>
    <t>CAND_0630</t>
  </si>
  <si>
    <t>creativity, vue, javascript, html, css</t>
  </si>
  <si>
    <t>Experienced web developer with 7 years working with creativity, vue, javascript</t>
  </si>
  <si>
    <t>CAND_0631</t>
  </si>
  <si>
    <t>teamwork, bash, creativity, adaptability</t>
  </si>
  <si>
    <t>Experienced system administrator with 4 years working with teamwork, bash, creativity</t>
  </si>
  <si>
    <t>CAND_0632</t>
  </si>
  <si>
    <t>risk management, creativity, problem solving, teamwork, confluence</t>
  </si>
  <si>
    <t>Experienced project manager with 4 years working with risk management, creativity, problem solving</t>
  </si>
  <si>
    <t>CAND_0633</t>
  </si>
  <si>
    <t>java, c#, programming, teamwork, agile, javascript</t>
  </si>
  <si>
    <t>Experienced software developer with 11 years working with java, c#, programming</t>
  </si>
  <si>
    <t>CAND_0634</t>
  </si>
  <si>
    <t>numpy, critical thinking, adaptability, deep learning, creativity, tensorflow</t>
  </si>
  <si>
    <t>Experienced data scientist with 7 years working with numpy, critical thinking, adaptability</t>
  </si>
  <si>
    <t>CAND_0635</t>
  </si>
  <si>
    <t>adaptability, devops, problem solving, postgresql, javascript, html, css, sql</t>
  </si>
  <si>
    <t>Experienced fullstack developer with 9 years working with adaptability, devops, problem solving</t>
  </si>
  <si>
    <t>CAND_0636</t>
  </si>
  <si>
    <t>creativity, git, communication, programming</t>
  </si>
  <si>
    <t>Experienced software developer with 3 years working with creativity, git, communication</t>
  </si>
  <si>
    <t>CAND_0637</t>
  </si>
  <si>
    <t>leadership, analytics, video editing</t>
  </si>
  <si>
    <t>Experienced content creator with 1 years working with leadership, analytics, video editing</t>
  </si>
  <si>
    <t>CAND_0638</t>
  </si>
  <si>
    <t>vue, critical thinking, react</t>
  </si>
  <si>
    <t>Experienced frontend developer with 3 years working with vue, critical thinking, react</t>
  </si>
  <si>
    <t>CAND_0639</t>
  </si>
  <si>
    <t>indesign, illustrator, color theory, creativity, photoshop</t>
  </si>
  <si>
    <t>Experienced graphic designer with 1 years working with indesign, illustrator, color theory</t>
  </si>
  <si>
    <t>CAND_0640</t>
  </si>
  <si>
    <t>adaptability, react, javascript, html, css, sass, nodejs</t>
  </si>
  <si>
    <t>Experienced web developer with 1 years working with adaptability, react, javascript</t>
  </si>
  <si>
    <t>CAND_0641</t>
  </si>
  <si>
    <t>adaptability, time management, requirements analysis, tableau, teamwork, powerbi</t>
  </si>
  <si>
    <t>Experienced business analyst with 8 years working with adaptability, time management, requirements analysis</t>
  </si>
  <si>
    <t>CAND_0642</t>
  </si>
  <si>
    <t>adaptability, python, creativity, communication</t>
  </si>
  <si>
    <t>Experienced developer with 4 years working with adaptability, python, creativity</t>
  </si>
  <si>
    <t>CAND_0643</t>
  </si>
  <si>
    <t>adaptability, grafana, azure, aws</t>
  </si>
  <si>
    <t>Experienced devops engineer with 1 years working with adaptability, grafana, azure</t>
  </si>
  <si>
    <t>CAND_0644</t>
  </si>
  <si>
    <t>time management, react</t>
  </si>
  <si>
    <t>Experienced frontend developer with 5 years working with time management, react</t>
  </si>
  <si>
    <t>CAND_0645</t>
  </si>
  <si>
    <t>time management</t>
  </si>
  <si>
    <t>Experienced frontend developer with 1 years working with time management</t>
  </si>
  <si>
    <t>CAND_0646</t>
  </si>
  <si>
    <t>communication, statistics, tableau, teamwork, sql</t>
  </si>
  <si>
    <t>Experienced analyst with 9 years working with communication, statistics, tableau</t>
  </si>
  <si>
    <t>CAND_0647</t>
  </si>
  <si>
    <t>numpy, python, adaptability, hadoop, statistics, problem solving, leadership, scipy, sql</t>
  </si>
  <si>
    <t>Experienced data scientist with 8 years working with numpy, python, adaptability</t>
  </si>
  <si>
    <t>CAND_0648</t>
  </si>
  <si>
    <t>python, communication, requirements analysis, business intelligence, powerbi</t>
  </si>
  <si>
    <t>Experienced business analyst with 6 years working with python, communication, requirements analysis</t>
  </si>
  <si>
    <t>CAND_0649</t>
  </si>
  <si>
    <t>critical thinking, communication, teamwork, networking, vmware, hyper-v</t>
  </si>
  <si>
    <t>Experienced system administrator with 1 years working with critical thinking, communication, teamwork</t>
  </si>
  <si>
    <t>CAND_0650</t>
  </si>
  <si>
    <t>ui/ux, adobe creative suite, teamwork, prototyping, wireframing, html, design, sketch</t>
  </si>
  <si>
    <t>Experienced ui ux designer with 6 years working with ui/ux, adobe creative suite, teamwork</t>
  </si>
  <si>
    <t>CAND_0651</t>
  </si>
  <si>
    <t>graphic design, critical thinking, content writing, adaptability, communication, content strategy, creativity, social media</t>
  </si>
  <si>
    <t>Experienced content creator with 3 years working with graphic design, critical thinking, content writing</t>
  </si>
  <si>
    <t>CAND_0652</t>
  </si>
  <si>
    <t>problem solving, project management</t>
  </si>
  <si>
    <t>Experienced project manager with 11 years working with problem solving, project management</t>
  </si>
  <si>
    <t>CAND_0653</t>
  </si>
  <si>
    <t>html, adaptability, time management, problem solving, php, javascript, angular, css, sass</t>
  </si>
  <si>
    <t>Experienced web developer with 5 years working with html, adaptability, time management</t>
  </si>
  <si>
    <t>CAND_0654</t>
  </si>
  <si>
    <t>risk management, teamwork, creativity, adaptability</t>
  </si>
  <si>
    <t>Experienced project manager with 2 years working with risk management, teamwork, creativity</t>
  </si>
  <si>
    <t>CAND_0655</t>
  </si>
  <si>
    <t>critical thinking, adaptability, testing</t>
  </si>
  <si>
    <t>Experienced developer with 8 years working with critical thinking, adaptability, testing</t>
  </si>
  <si>
    <t>CAND_0656</t>
  </si>
  <si>
    <t>creativity, teamwork, javascript, html, css, sql</t>
  </si>
  <si>
    <t>Experienced fullstack developer with 8 years working with creativity, teamwork, javascript</t>
  </si>
  <si>
    <t>CAND_0657</t>
  </si>
  <si>
    <t>python, adaptability, excel, agile, powerbi, sql</t>
  </si>
  <si>
    <t>Experienced business analyst with 4 years working with python, adaptability, excel</t>
  </si>
  <si>
    <t>CAND_0658</t>
  </si>
  <si>
    <t>communication, testing, creativity, programming, ci/cd</t>
  </si>
  <si>
    <t>Experienced software developer with 1 years working with communication, testing, creativity</t>
  </si>
  <si>
    <t>CAND_0659</t>
  </si>
  <si>
    <t>ui/ux, communication, creativity, wireframing, design, css</t>
  </si>
  <si>
    <t>Experienced ui ux designer with 2 years working with ui/ux, communication, creativity</t>
  </si>
  <si>
    <t>CAND_0660</t>
  </si>
  <si>
    <t>teamwork, adaptability, css</t>
  </si>
  <si>
    <t>CAND_0661</t>
  </si>
  <si>
    <t>data analysis, excel, tableau, problem solving, reporting, sql</t>
  </si>
  <si>
    <t>Experienced analyst with 3 years working with data analysis, excel, tableau</t>
  </si>
  <si>
    <t>CAND_0662</t>
  </si>
  <si>
    <t>problem solving, git</t>
  </si>
  <si>
    <t>Experienced developer with 1 years working with problem solving, git</t>
  </si>
  <si>
    <t>CAND_0663</t>
  </si>
  <si>
    <t>ui/ux, adaptability, css</t>
  </si>
  <si>
    <t>Experienced designer with 0 years working with ui/ux, adaptability, css</t>
  </si>
  <si>
    <t>CAND_0664</t>
  </si>
  <si>
    <t>vue, leadership, responsive design, react</t>
  </si>
  <si>
    <t>Experienced frontend developer with 6 years working with vue, leadership, responsive design</t>
  </si>
  <si>
    <t>CAND_0665</t>
  </si>
  <si>
    <t>risk management, leadership, scrum, problem solving</t>
  </si>
  <si>
    <t>Experienced project manager with 11 years working with risk management, leadership, scrum</t>
  </si>
  <si>
    <t>CAND_0666</t>
  </si>
  <si>
    <t>time management, creativity, reporting, powerbi</t>
  </si>
  <si>
    <t>Experienced analyst with 0 years working with time management, creativity, reporting</t>
  </si>
  <si>
    <t>CAND_0667</t>
  </si>
  <si>
    <t>seo, creativity, content strategy</t>
  </si>
  <si>
    <t>Experienced content creator with 10 years working with seo, creativity, content strategy</t>
  </si>
  <si>
    <t>CAND_0668</t>
  </si>
  <si>
    <t>time management, webpack, vue, problem solving, javascript, html, css</t>
  </si>
  <si>
    <t>Experienced frontend developer with 6 years working with time management, webpack, vue</t>
  </si>
  <si>
    <t>CAND_0669</t>
  </si>
  <si>
    <t>ui/ux, adaptability, creativity, react, angular</t>
  </si>
  <si>
    <t>Experienced frontend developer with 2 years working with ui/ux, adaptability, creativity</t>
  </si>
  <si>
    <t>CAND_0670</t>
  </si>
  <si>
    <t>adobe creative suite, teamwork, figma</t>
  </si>
  <si>
    <t>Experienced ui ux designer with 5 years working with adobe creative suite, teamwork, figma</t>
  </si>
  <si>
    <t>CAND_0671</t>
  </si>
  <si>
    <t>python, statistics, data analysis, excel, creativity, leadership, powerbi</t>
  </si>
  <si>
    <t>Experienced analyst with 7 years working with python, statistics, data analysis</t>
  </si>
  <si>
    <t>CAND_0672</t>
  </si>
  <si>
    <t>adaptability, pandas, excel, data visualization, tableau, sql</t>
  </si>
  <si>
    <t>Experienced data analyst with 1 years working with adaptability, pandas, excel</t>
  </si>
  <si>
    <t>CAND_0673</t>
  </si>
  <si>
    <t>html, communication, leadership, mongodb, php, javascript, css</t>
  </si>
  <si>
    <t>Experienced web developer with 3 years working with html, communication, leadership</t>
  </si>
  <si>
    <t>CAND_0674</t>
  </si>
  <si>
    <t>react native, java, time management, creativity, kotlin</t>
  </si>
  <si>
    <t>Experienced mobile developer with 2 years working with react native, java, time management</t>
  </si>
  <si>
    <t>CAND_0675</t>
  </si>
  <si>
    <t>problem solving, design, adaptability, creativity</t>
  </si>
  <si>
    <t>Experienced designer with 7 years working with problem solving, design, adaptability</t>
  </si>
  <si>
    <t>CAND_0676</t>
  </si>
  <si>
    <t>adaptability, creativity, react, mongodb, javascript, html, css, nodejs, sql</t>
  </si>
  <si>
    <t>Experienced fullstack developer with 0 years working with adaptability, creativity, react</t>
  </si>
  <si>
    <t>CAND_0677</t>
  </si>
  <si>
    <t>communication, project management, risk management, time management, creativity, leadership, confluence, scrum</t>
  </si>
  <si>
    <t>Experienced project manager with 0 years working with communication, project management, risk management</t>
  </si>
  <si>
    <t>CAND_0678</t>
  </si>
  <si>
    <t>java, docker, time management, go, php</t>
  </si>
  <si>
    <t>Experienced backend developer with 3 years working with java, docker, time management</t>
  </si>
  <si>
    <t>CAND_0679</t>
  </si>
  <si>
    <t>adaptability, adobe creative suite, creativity, user research, prototyping, css</t>
  </si>
  <si>
    <t>Experienced ui ux designer with 10 years working with adaptability, adobe creative suite, creativity</t>
  </si>
  <si>
    <t>CAND_0680</t>
  </si>
  <si>
    <t>communication, roadmap planning, a/b testing, analytics, leadership, product management, agile, wireframing</t>
  </si>
  <si>
    <t>Experienced product manager with 0 years working with communication, roadmap planning, a/b testing</t>
  </si>
  <si>
    <t>CAND_0681</t>
  </si>
  <si>
    <t>critical thinking, ui/ux, adobe creative suite, time management, design, sketch</t>
  </si>
  <si>
    <t>Experienced ui ux designer with 7 years working with critical thinking, ui/ux, adobe creative suite</t>
  </si>
  <si>
    <t>CAND_0682</t>
  </si>
  <si>
    <t>communication, technical skills, analytics, teamwork, product management, sql</t>
  </si>
  <si>
    <t>Experienced product manager with 5 years working with communication, technical skills, analytics</t>
  </si>
  <si>
    <t>CAND_0683</t>
  </si>
  <si>
    <t>digital marketing, communication, sem, teamwork, social media</t>
  </si>
  <si>
    <t>Experienced digital marketer with 1 years working with digital marketing, communication, sem</t>
  </si>
  <si>
    <t>CAND_0684</t>
  </si>
  <si>
    <t>linux, communication, windows, bash, security, teamwork, powershell, active directory</t>
  </si>
  <si>
    <t>Experienced system administrator with 0 years working with linux, communication, windows</t>
  </si>
  <si>
    <t>CAND_0685</t>
  </si>
  <si>
    <t>creativity, user research, teamwork, prototyping, sketch, css</t>
  </si>
  <si>
    <t>Experienced ui ux designer with 5 years working with creativity, user research, teamwork</t>
  </si>
  <si>
    <t>CAND_0686</t>
  </si>
  <si>
    <t>digital marketing, critical thinking, sem, analytics, leadership, problem solving, social media, content marketing, google ads</t>
  </si>
  <si>
    <t>Experienced digital marketer with 9 years working with digital marketing, critical thinking, sem</t>
  </si>
  <si>
    <t>CAND_0687</t>
  </si>
  <si>
    <t>adaptability, communication, teamwork, html, css</t>
  </si>
  <si>
    <t>Experienced designer with 0 years working with adaptability, communication, teamwork</t>
  </si>
  <si>
    <t>CAND_0688</t>
  </si>
  <si>
    <t>adaptability, testing, quality assurance, selenium, security testing, automation testing, bug tracking</t>
  </si>
  <si>
    <t>Experienced qa engineer with 1 years working with adaptability, testing, quality assurance</t>
  </si>
  <si>
    <t>CAND_0689</t>
  </si>
  <si>
    <t>leadership, java, javascript, sql</t>
  </si>
  <si>
    <t>Experienced developer with 1 years working with leadership, java, javascript</t>
  </si>
  <si>
    <t>CAND_0690</t>
  </si>
  <si>
    <t>api, communication, kubernetes, java, creativity, go, problem solving, sql</t>
  </si>
  <si>
    <t>Experienced backend developer with 1 years working with api, communication, kubernetes</t>
  </si>
  <si>
    <t>CAND_0691</t>
  </si>
  <si>
    <t>communication, javascript, html, css, postgresql</t>
  </si>
  <si>
    <t>Experienced web developer with 3 years working with communication, javascript, html</t>
  </si>
  <si>
    <t>CAND_0692</t>
  </si>
  <si>
    <t>ui/ux, adobe creative suite, time management, creativity, html, design, sketch</t>
  </si>
  <si>
    <t>Experienced ui ux designer with 1 years working with ui/ux, adobe creative suite, time management</t>
  </si>
  <si>
    <t>CAND_0693</t>
  </si>
  <si>
    <t>critical thinking, leadership, git, agile</t>
  </si>
  <si>
    <t>Experienced developer with 0 years working with critical thinking, leadership, git</t>
  </si>
  <si>
    <t>CAND_0694</t>
  </si>
  <si>
    <t>problem solving, content writing, communication</t>
  </si>
  <si>
    <t>Experienced content creator with 0 years working with problem solving, content writing, communication</t>
  </si>
  <si>
    <t>CAND_0695</t>
  </si>
  <si>
    <t>critical thinking, docker, c++, programming</t>
  </si>
  <si>
    <t>Experienced software developer with 9 years working with critical thinking, docker, c++</t>
  </si>
  <si>
    <t>CAND_0696</t>
  </si>
  <si>
    <t>adaptability, communication, technical skills, creativity, user research, analytics, product management, sql</t>
  </si>
  <si>
    <t>Experienced product manager with 1 years working with adaptability, communication, technical skills</t>
  </si>
  <si>
    <t>CAND_0697</t>
  </si>
  <si>
    <t>adaptability, java, creativity, problem solving, javascript, sql</t>
  </si>
  <si>
    <t>Experienced developer with 10 years working with adaptability, java, creativity</t>
  </si>
  <si>
    <t>CAND_0698</t>
  </si>
  <si>
    <t>python, adaptability, java, creativity, programming, git, sql</t>
  </si>
  <si>
    <t>Experienced developer with 4 years working with python, adaptability, java</t>
  </si>
  <si>
    <t>CAND_0699</t>
  </si>
  <si>
    <t>critical thinking, adaptability, photoshop, print design, teamwork</t>
  </si>
  <si>
    <t>Experienced graphic designer with 1 years working with critical thinking, adaptability, photoshop</t>
  </si>
  <si>
    <t>CAND_0700</t>
  </si>
  <si>
    <t>content writing, adaptability, communication, copywriting, content strategy, problem solving, social media</t>
  </si>
  <si>
    <t>Experienced content creator with 0 years working with content writing, adaptability, communication</t>
  </si>
  <si>
    <t>CAND_0701</t>
  </si>
  <si>
    <t>graphic design, seo, content writing, communication, copywriting, leadership, social media</t>
  </si>
  <si>
    <t>Experienced content creator with 0 years working with graphic design, seo, content writing</t>
  </si>
  <si>
    <t>CAND_0702</t>
  </si>
  <si>
    <t>linux, adaptability, docker, time management, creativity, monitoring</t>
  </si>
  <si>
    <t>Experienced devops engineer with 8 years working with linux, adaptability, docker</t>
  </si>
  <si>
    <t>CAND_0703</t>
  </si>
  <si>
    <t>critical thinking, python, pandas, time management, statistics, excel, tableau, machine learning, teamwork, sql</t>
  </si>
  <si>
    <t>Experienced data analyst with 0 years working with critical thinking, python, pandas</t>
  </si>
  <si>
    <t>CAND_0704</t>
  </si>
  <si>
    <t>time management, creativity, terraform</t>
  </si>
  <si>
    <t>Experienced devops engineer with 8 years working with time management, creativity, terraform</t>
  </si>
  <si>
    <t>CAND_0705</t>
  </si>
  <si>
    <t>problem solving, communication, wireframing</t>
  </si>
  <si>
    <t>Experienced ui ux designer with 9 years working with problem solving, communication, wireframing</t>
  </si>
  <si>
    <t>CAND_0706</t>
  </si>
  <si>
    <t>adaptability, testing, java, creativity, c#, programming, agile, javascript</t>
  </si>
  <si>
    <t>Experienced software developer with 2 years working with adaptability, testing, java</t>
  </si>
  <si>
    <t>CAND_0707</t>
  </si>
  <si>
    <t>critical thinking, adaptability, hadoop, spark, teamwork</t>
  </si>
  <si>
    <t>Experienced data scientist with 0 years working with critical thinking, adaptability, hadoop</t>
  </si>
  <si>
    <t>CAND_0708</t>
  </si>
  <si>
    <t>python, adaptability, data analysis, excel, creativity, problem solving, reporting</t>
  </si>
  <si>
    <t>Experienced analyst with 0 years working with python, adaptability, data analysis</t>
  </si>
  <si>
    <t>CAND_0709</t>
  </si>
  <si>
    <t>communication, performance testing, teamwork, selenium, security testing</t>
  </si>
  <si>
    <t>Experienced qa engineer with 6 years working with communication, performance testing, teamwork</t>
  </si>
  <si>
    <t>CAND_0710</t>
  </si>
  <si>
    <t>critical thinking, time management, statistics, data visualization, tableau, machine learning, r</t>
  </si>
  <si>
    <t>Experienced data analyst with 3 years working with critical thinking, time management, statistics</t>
  </si>
  <si>
    <t>CAND_0711</t>
  </si>
  <si>
    <t>critical thinking, communication, roadmap planning, user research, analytics, product management</t>
  </si>
  <si>
    <t>Experienced product manager with 9 years working with critical thinking, communication, roadmap planning</t>
  </si>
  <si>
    <t>CAND_0712</t>
  </si>
  <si>
    <t>critical thinking, java, time management, creativity, c#, programming, c++</t>
  </si>
  <si>
    <t>Experienced software developer with 0 years working with critical thinking, java, time management</t>
  </si>
  <si>
    <t>CAND_0713</t>
  </si>
  <si>
    <t>critical thinking, api, kubernetes, problem solving, leadership, sql</t>
  </si>
  <si>
    <t>Experienced backend developer with 0 years working with critical thinking, api, kubernetes</t>
  </si>
  <si>
    <t>CAND_0714</t>
  </si>
  <si>
    <t>critical thinking, python, java, creativity, programming, sql</t>
  </si>
  <si>
    <t>Experienced developer with 8 years working with critical thinking, python, java</t>
  </si>
  <si>
    <t>CAND_0715</t>
  </si>
  <si>
    <t>critical thinking, html, webpack, vue, php, javascript, angular, css, sass</t>
  </si>
  <si>
    <t>Experienced web developer with 8 years working with critical thinking, html, webpack</t>
  </si>
  <si>
    <t>CAND_0716</t>
  </si>
  <si>
    <t>communication, roadmap planning, time management, product management, wireframing, sql</t>
  </si>
  <si>
    <t>Experienced product manager with 3 years working with communication, roadmap planning, time management</t>
  </si>
  <si>
    <t>CAND_0717</t>
  </si>
  <si>
    <t>bash, creativity, leadership, teamwork, powershell, vmware</t>
  </si>
  <si>
    <t>Experienced system administrator with 8 years working with bash, creativity, leadership</t>
  </si>
  <si>
    <t>CAND_0718</t>
  </si>
  <si>
    <t>critical thinking, time management, communication</t>
  </si>
  <si>
    <t>Experienced designer with 3 years working with critical thinking, time management, communication</t>
  </si>
  <si>
    <t>CAND_0719</t>
  </si>
  <si>
    <t>python, communication, java, time management, c++</t>
  </si>
  <si>
    <t>Experienced software developer with 11 years working with python, communication, java</t>
  </si>
  <si>
    <t>CAND_0720</t>
  </si>
  <si>
    <t>go, adaptability, c#, kubernetes</t>
  </si>
  <si>
    <t>Experienced backend developer with 4 years working with go, adaptability, c#</t>
  </si>
  <si>
    <t>CAND_0721</t>
  </si>
  <si>
    <t>teamwork, communication</t>
  </si>
  <si>
    <t>Experienced software developer with 2 years working with teamwork, communication</t>
  </si>
  <si>
    <t>CAND_0722</t>
  </si>
  <si>
    <t>kotlin, leadership, react native, swift</t>
  </si>
  <si>
    <t>Experienced mobile developer with 5 years working with kotlin, leadership, react native</t>
  </si>
  <si>
    <t>CAND_0723</t>
  </si>
  <si>
    <t>vue, time management, creativity, adaptability</t>
  </si>
  <si>
    <t>Experienced web developer with 2 years working with vue, time management, creativity</t>
  </si>
  <si>
    <t>CAND_0724</t>
  </si>
  <si>
    <t>python, testing, creativity, agile, javascript, sql</t>
  </si>
  <si>
    <t>Experienced developer with 5 years working with python, testing, creativity</t>
  </si>
  <si>
    <t>CAND_0725</t>
  </si>
  <si>
    <t>digital marketing, seo, communication, sem, time management, creativity, analytics</t>
  </si>
  <si>
    <t>Experienced digital marketer with 6 years working with digital marketing, seo, communication</t>
  </si>
  <si>
    <t>CAND_0726</t>
  </si>
  <si>
    <t>adaptability, swift, java, mobile, kotlin, teamwork</t>
  </si>
  <si>
    <t>Experienced mobile developer with 1 years working with adaptability, swift, java</t>
  </si>
  <si>
    <t>CAND_0727</t>
  </si>
  <si>
    <t>ui/ux, adaptability</t>
  </si>
  <si>
    <t>Experienced designer with 0 years working with ui/ux, adaptability</t>
  </si>
  <si>
    <t>CAND_0728</t>
  </si>
  <si>
    <t>critical thinking, tableau, problem solving, reporting, sql</t>
  </si>
  <si>
    <t>Experienced analyst with 9 years working with critical thinking, tableau, problem solving</t>
  </si>
  <si>
    <t>CAND_0729</t>
  </si>
  <si>
    <t>critical thinking, python, communication, c#, programming, c++</t>
  </si>
  <si>
    <t>Experienced software developer with 3 years working with critical thinking, python, communication</t>
  </si>
  <si>
    <t>CAND_0730</t>
  </si>
  <si>
    <t>critical thinking, python, data analysis, excel, reporting</t>
  </si>
  <si>
    <t>Experienced analyst with 1 years working with critical thinking, python, data analysis</t>
  </si>
  <si>
    <t>CAND_0731</t>
  </si>
  <si>
    <t>python, creativity, requirements analysis, excel, leadership, process modeling, sql</t>
  </si>
  <si>
    <t>Experienced business analyst with 3 years working with python, creativity, requirements analysis</t>
  </si>
  <si>
    <t>CAND_0732</t>
  </si>
  <si>
    <t>design, teamwork, prototyping</t>
  </si>
  <si>
    <t>Experienced designer with 6 years working with design, teamwork, prototyping</t>
  </si>
  <si>
    <t>CAND_0733</t>
  </si>
  <si>
    <t>communication, a/b testing, problem solving, product management, agile, sql</t>
  </si>
  <si>
    <t>Experienced product manager with 2 years working with communication, a/b testing, problem solving</t>
  </si>
  <si>
    <t>CAND_0734</t>
  </si>
  <si>
    <t>seo, content writing, communication, copywriting, creativity</t>
  </si>
  <si>
    <t>Experienced content creator with 6 years working with seo, content writing, communication</t>
  </si>
  <si>
    <t>CAND_0735</t>
  </si>
  <si>
    <t>adaptability, communication, time management, typescript, sass, nodejs</t>
  </si>
  <si>
    <t>Experienced web developer with 0 years working with adaptability, communication, time management</t>
  </si>
  <si>
    <t>CAND_0736</t>
  </si>
  <si>
    <t>sem, teamwork, facebook ads, content marketing</t>
  </si>
  <si>
    <t>Experienced digital marketer with 9 years working with sem, teamwork, facebook ads</t>
  </si>
  <si>
    <t>CAND_0737</t>
  </si>
  <si>
    <t>indesign, communication, typography, adobe creative suite, time management, branding, photoshop, print design, leadership, design</t>
  </si>
  <si>
    <t>Experienced graphic designer with 5 years working with indesign, communication, typography</t>
  </si>
  <si>
    <t>CAND_0738</t>
  </si>
  <si>
    <t>time management, statistics, communication, creativity</t>
  </si>
  <si>
    <t>Experienced analyst with 6 years working with time management, statistics, communication</t>
  </si>
  <si>
    <t>CAND_0739</t>
  </si>
  <si>
    <t>time management, creativity, c++, programming</t>
  </si>
  <si>
    <t>Experienced software developer with 1 years working with time management, creativity, c++</t>
  </si>
  <si>
    <t>CAND_0740</t>
  </si>
  <si>
    <t>critical thinking, time management, creativity, powerbi, r</t>
  </si>
  <si>
    <t>Experienced analyst with 9 years working with critical thinking, time management, creativity</t>
  </si>
  <si>
    <t>CAND_0741</t>
  </si>
  <si>
    <t>seo, adaptability, communication, copywriting, content strategy, time management, wordpress, video editing</t>
  </si>
  <si>
    <t>Experienced content creator with 1 years working with seo, adaptability, communication</t>
  </si>
  <si>
    <t>CAND_0742</t>
  </si>
  <si>
    <t>adobe creative suite, design, ui/ux, critical thinking</t>
  </si>
  <si>
    <t>Experienced designer with 0 years working with adobe creative suite, design, ui/ux</t>
  </si>
  <si>
    <t>CAND_0743</t>
  </si>
  <si>
    <t>critical thinking, api, communication, leadership, sql</t>
  </si>
  <si>
    <t>Experienced backend developer with 1 years working with critical thinking, api, communication</t>
  </si>
  <si>
    <t>CAND_0744</t>
  </si>
  <si>
    <t>teamwork, docker, devops, problem solving</t>
  </si>
  <si>
    <t>Experienced fullstack developer with 9 years working with teamwork, docker, devops</t>
  </si>
  <si>
    <t>CAND_0745</t>
  </si>
  <si>
    <t>critical thinking, seo, content writing, communication, copywriting, teamwork</t>
  </si>
  <si>
    <t>Experienced content creator with 6 years working with critical thinking, seo, content writing</t>
  </si>
  <si>
    <t>CAND_0746</t>
  </si>
  <si>
    <t>adaptability, swift, mobile, time management, creativity, google play, firebase, kotlin, flutter</t>
  </si>
  <si>
    <t>CAND_0747</t>
  </si>
  <si>
    <t>adaptability, communication, time management, programming, javascript</t>
  </si>
  <si>
    <t>Experienced developer with 10 years working with adaptability, communication, time management</t>
  </si>
  <si>
    <t>CAND_0748</t>
  </si>
  <si>
    <t>critical thinking, leadership, social media, content strategy</t>
  </si>
  <si>
    <t>Experienced content creator with 7 years working with critical thinking, leadership, social media</t>
  </si>
  <si>
    <t>CAND_0749</t>
  </si>
  <si>
    <t>communication, creativity, user research, teamwork, product management</t>
  </si>
  <si>
    <t>Experienced product manager with 1 years working with communication, creativity, user research</t>
  </si>
  <si>
    <t>CAND_0750</t>
  </si>
  <si>
    <t>adaptability, communication, manual testing, automation testing, bug tracking</t>
  </si>
  <si>
    <t>Experienced qa engineer with 1 years working with adaptability, communication, manual testing</t>
  </si>
  <si>
    <t>CAND_0751</t>
  </si>
  <si>
    <t>seo, copywriting, creativity, problem solving, wordpress, social media</t>
  </si>
  <si>
    <t>Experienced content creator with 1 years working with seo, copywriting, creativity</t>
  </si>
  <si>
    <t>CAND_0752</t>
  </si>
  <si>
    <t>communication, adobe creative suite, creativity, teamwork, design</t>
  </si>
  <si>
    <t>Experienced graphic designer with 7 years working with communication, adobe creative suite, creativity</t>
  </si>
  <si>
    <t>CAND_0753</t>
  </si>
  <si>
    <t>python, communication, problem solving, mongodb, javascript, html, css, aws, nodejs, sql</t>
  </si>
  <si>
    <t>Experienced fullstack developer with 11 years working with python, communication, problem solving</t>
  </si>
  <si>
    <t>CAND_0754</t>
  </si>
  <si>
    <t>digital marketing, analytics, facebook ads, leadership, social media, google ads</t>
  </si>
  <si>
    <t>Experienced digital marketer with 0 years working with digital marketing, analytics, facebook ads</t>
  </si>
  <si>
    <t>CAND_0755</t>
  </si>
  <si>
    <t>adaptability, statistics, excel, tableau, teamwork, sql</t>
  </si>
  <si>
    <t>Experienced data analyst with 1 years working with adaptability, statistics, excel</t>
  </si>
  <si>
    <t>CAND_0756</t>
  </si>
  <si>
    <t>testing, problem solving, quality assurance, ci/cd, automation testing</t>
  </si>
  <si>
    <t>Experienced qa engineer with 1 years working with testing, problem solving, quality assurance</t>
  </si>
  <si>
    <t>CAND_0757</t>
  </si>
  <si>
    <t>linux, communication, windows, security, networking, powershell</t>
  </si>
  <si>
    <t>CAND_0758</t>
  </si>
  <si>
    <t>flutter, time management, leadership, google play</t>
  </si>
  <si>
    <t>Experienced mobile developer with 6 years working with flutter, time management, leadership</t>
  </si>
  <si>
    <t>CAND_0759</t>
  </si>
  <si>
    <t>flutter, communication, app store, swift</t>
  </si>
  <si>
    <t>Experienced mobile developer with 0 years working with flutter, communication, app store</t>
  </si>
  <si>
    <t>CAND_0760</t>
  </si>
  <si>
    <t>critical thinking, adaptability, communication, project management</t>
  </si>
  <si>
    <t>Experienced project manager with 5 years working with critical thinking, adaptability, communication</t>
  </si>
  <si>
    <t>CAND_0761</t>
  </si>
  <si>
    <t>linux, docker, time management, ansible, problem solving, terraform, aws</t>
  </si>
  <si>
    <t>CAND_0762</t>
  </si>
  <si>
    <t>project management, time management, leadership, agile, confluence, pmp</t>
  </si>
  <si>
    <t>Experienced project manager with 2 years working with project management, time management, leadership</t>
  </si>
  <si>
    <t>CAND_0763</t>
  </si>
  <si>
    <t>creativity, requirements analysis, business intelligence, agile, powerbi</t>
  </si>
  <si>
    <t>Experienced business analyst with 5 years working with creativity, requirements analysis, business intelligence</t>
  </si>
  <si>
    <t>CAND_0764</t>
  </si>
  <si>
    <t>r, problem solving, adaptability, sql</t>
  </si>
  <si>
    <t>Experienced analyst with 5 years working with r, problem solving, adaptability</t>
  </si>
  <si>
    <t>CAND_0765</t>
  </si>
  <si>
    <t>adaptability, communication, technical skills, a/b testing, analytics, product management, agile</t>
  </si>
  <si>
    <t>Experienced product manager with 8 years working with adaptability, communication, technical skills</t>
  </si>
  <si>
    <t>CAND_0766</t>
  </si>
  <si>
    <t>adaptability, bash, networking, powershell</t>
  </si>
  <si>
    <t>Experienced system administrator with 6 years working with adaptability, bash, networking</t>
  </si>
  <si>
    <t>CAND_0767</t>
  </si>
  <si>
    <t>sem, critical thinking, analytics</t>
  </si>
  <si>
    <t>Experienced digital marketer with 1 years working with sem, critical thinking, analytics</t>
  </si>
  <si>
    <t>CAND_0768</t>
  </si>
  <si>
    <t>time management, business intelligence, tableau</t>
  </si>
  <si>
    <t>Experienced business analyst with 4 years working with time management, business intelligence, tableau</t>
  </si>
  <si>
    <t>CAND_0769</t>
  </si>
  <si>
    <t>teamwork, user research, agile, technical skills</t>
  </si>
  <si>
    <t>Experienced product manager with 4 years working with teamwork, user research, agile</t>
  </si>
  <si>
    <t>CAND_0770</t>
  </si>
  <si>
    <t>critical thinking, active directory, time management, networking, vmware</t>
  </si>
  <si>
    <t>Experienced system administrator with 8 years working with critical thinking, active directory, time management</t>
  </si>
  <si>
    <t>CAND_0771</t>
  </si>
  <si>
    <t>communication, technical skills, roadmap planning, user research, sql</t>
  </si>
  <si>
    <t>Experienced product manager with 9 years working with communication, technical skills, roadmap planning</t>
  </si>
  <si>
    <t>CAND_0772</t>
  </si>
  <si>
    <t>critical thinking, indesign, web design, color theory, creativity, branding</t>
  </si>
  <si>
    <t>Experienced graphic designer with 9 years working with critical thinking, indesign, web design</t>
  </si>
  <si>
    <t>CAND_0773</t>
  </si>
  <si>
    <t>linux, communication, windows, networking, monitoring</t>
  </si>
  <si>
    <t>CAND_0774</t>
  </si>
  <si>
    <t>linux, kubernetes, docker, leadership, problem solving, azure, monitoring, aws</t>
  </si>
  <si>
    <t>Experienced devops engineer with 3 years working with linux, kubernetes, docker</t>
  </si>
  <si>
    <t>CAND_0775</t>
  </si>
  <si>
    <t>communication, time management, programming, teamwork, agile, ci/cd</t>
  </si>
  <si>
    <t>Experienced software developer with 2 years working with communication, time management, programming</t>
  </si>
  <si>
    <t>CAND_0776</t>
  </si>
  <si>
    <t>critical thinking, python, time management, statistics, data analysis, excel, leadership, powerbi, sql</t>
  </si>
  <si>
    <t>Experienced analyst with 0 years working with critical thinking, python, time management</t>
  </si>
  <si>
    <t>CAND_0777</t>
  </si>
  <si>
    <t>critical thinking, teamwork, manual testing, performance testing</t>
  </si>
  <si>
    <t>Experienced qa engineer with 7 years working with critical thinking, teamwork, manual testing</t>
  </si>
  <si>
    <t>CAND_0778</t>
  </si>
  <si>
    <t>communication, adobe creative suite, problem solving, leadership, prototyping, design, css, figma</t>
  </si>
  <si>
    <t>Experienced designer with 0 years working with communication, adobe creative suite, problem solving</t>
  </si>
  <si>
    <t>CAND_0779</t>
  </si>
  <si>
    <t>leadership, analytics, google ads</t>
  </si>
  <si>
    <t>Experienced digital marketer with 4 years working with leadership, analytics, google ads</t>
  </si>
  <si>
    <t>CAND_0780</t>
  </si>
  <si>
    <t>numpy, python, statistics, leadership, problem solving, scipy, sql</t>
  </si>
  <si>
    <t>Experienced data scientist with 2 years working with numpy, python, statistics</t>
  </si>
  <si>
    <t>CAND_0781</t>
  </si>
  <si>
    <t>java, docker, creativity, teamwork, nodejs</t>
  </si>
  <si>
    <t>Experienced backend developer with 1 years working with java, docker, creativity</t>
  </si>
  <si>
    <t>CAND_0782</t>
  </si>
  <si>
    <t>mobile, react native, communication, java</t>
  </si>
  <si>
    <t>Experienced mobile developer with 6 years working with mobile, react native, communication</t>
  </si>
  <si>
    <t>CAND_0783</t>
  </si>
  <si>
    <t>critical thinking, adaptability, react, vue, leadership, javascript, html, angular, css</t>
  </si>
  <si>
    <t>Experienced frontend developer with 0 years working with critical thinking, adaptability, react</t>
  </si>
  <si>
    <t>CAND_0784</t>
  </si>
  <si>
    <t>python, adaptability, communication, time management, sql</t>
  </si>
  <si>
    <t>Experienced data scientist with 6 years working with python, adaptability, communication</t>
  </si>
  <si>
    <t>CAND_0785</t>
  </si>
  <si>
    <t>communication, prototyping, html, sketch, figma</t>
  </si>
  <si>
    <t>Experienced ui ux designer with 6 years working with communication, prototyping, html</t>
  </si>
  <si>
    <t>CAND_0786</t>
  </si>
  <si>
    <t>critical thinking, communication, roadmap planning, creativity, user research, product management, agile, wireframing, sql</t>
  </si>
  <si>
    <t>Experienced product manager with 7 years working with critical thinking, communication, roadmap planning</t>
  </si>
  <si>
    <t>CAND_0787</t>
  </si>
  <si>
    <t>time management, bash, security, networking, teamwork, vmware</t>
  </si>
  <si>
    <t>Experienced system administrator with 1 years working with time management, bash, security</t>
  </si>
  <si>
    <t>CAND_0788</t>
  </si>
  <si>
    <t>critical thinking, adaptability, content strategy, analytics, teamwork, wordpress</t>
  </si>
  <si>
    <t>Experienced content creator with 1 years working with critical thinking, adaptability, content strategy</t>
  </si>
  <si>
    <t>CAND_0789</t>
  </si>
  <si>
    <t>testing, creativity, programming, leadership, agile</t>
  </si>
  <si>
    <t>Experienced software developer with 4 years working with testing, creativity, programming</t>
  </si>
  <si>
    <t>CAND_0790</t>
  </si>
  <si>
    <t>graphic design, communication, content strategy, analytics, problem solving, teamwork</t>
  </si>
  <si>
    <t>Experienced content creator with 5 years working with graphic design, communication, content strategy</t>
  </si>
  <si>
    <t>CAND_0791</t>
  </si>
  <si>
    <t>design, css, communication</t>
  </si>
  <si>
    <t>Experienced designer with 0 years working with design, css, communication</t>
  </si>
  <si>
    <t>CAND_0792</t>
  </si>
  <si>
    <t>python, teamwork, agile</t>
  </si>
  <si>
    <t>Experienced software developer with 11 years working with python, teamwork, agile</t>
  </si>
  <si>
    <t>CAND_0793</t>
  </si>
  <si>
    <t>linux, adaptability, windows, time management, teamwork, active directory, hyper-v</t>
  </si>
  <si>
    <t>Experienced system administrator with 3 years working with linux, adaptability, windows</t>
  </si>
  <si>
    <t>CAND_0794</t>
  </si>
  <si>
    <t>design, teamwork, ui/ux, figma</t>
  </si>
  <si>
    <t>Experienced designer with 6 years working with design, teamwork, ui/ux</t>
  </si>
  <si>
    <t>CAND_0795</t>
  </si>
  <si>
    <t>digital marketing, critical thinking, communication, email marketing, sem, facebook ads, analytics, content marketing</t>
  </si>
  <si>
    <t>Experienced digital marketer with 7 years working with digital marketing, critical thinking, communication</t>
  </si>
  <si>
    <t>CAND_0796</t>
  </si>
  <si>
    <t>python, time management, programming, teamwork, c++</t>
  </si>
  <si>
    <t>Experienced software developer with 11 years working with python, time management, programming</t>
  </si>
  <si>
    <t>CAND_0797</t>
  </si>
  <si>
    <t>pandas, deep learning, creativity, time management, tensorflow, scipy</t>
  </si>
  <si>
    <t>Experienced data scientist with 5 years working with pandas, deep learning, creativity</t>
  </si>
  <si>
    <t>CAND_0798</t>
  </si>
  <si>
    <t>critical thinking, ui/ux, time management, figma</t>
  </si>
  <si>
    <t>Experienced designer with 7 years working with critical thinking, ui/ux, time management</t>
  </si>
  <si>
    <t>CAND_0799</t>
  </si>
  <si>
    <t>conversion optimization, leadership, critical thinking, communication</t>
  </si>
  <si>
    <t>Experienced digital marketer with 0 years working with conversion optimization, leadership, critical thinking</t>
  </si>
  <si>
    <t>CAND_0800</t>
  </si>
  <si>
    <t>critical thinking, communication, data analysis, excel, teamwork</t>
  </si>
  <si>
    <t>Experienced analyst with 0 years working with critical thinking, communication, data analysis</t>
  </si>
  <si>
    <t>CAND_0801</t>
  </si>
  <si>
    <t>docker, time management, react, problem solving, aws</t>
  </si>
  <si>
    <t>Experienced fullstack developer with 1 years working with docker, time management, react</t>
  </si>
  <si>
    <t>CAND_0802</t>
  </si>
  <si>
    <t>critical thinking, testing, leadership, manual testing, quality assurance, selenium, ci/cd, automation testing</t>
  </si>
  <si>
    <t>Experienced qa engineer with 10 years working with critical thinking, testing, leadership</t>
  </si>
  <si>
    <t>CAND_0803</t>
  </si>
  <si>
    <t>python, communication, statistics, data analysis, excel, teamwork, powerbi</t>
  </si>
  <si>
    <t>Experienced analyst with 0 years working with python, communication, statistics</t>
  </si>
  <si>
    <t>CAND_0804</t>
  </si>
  <si>
    <t>python, time management, requirements analysis, business intelligence, teamwork, powerbi, r</t>
  </si>
  <si>
    <t>Experienced business analyst with 8 years working with python, time management, requirements analysis</t>
  </si>
  <si>
    <t>CAND_0805</t>
  </si>
  <si>
    <t>adaptability, gitlab ci, grafana, creativity, leadership</t>
  </si>
  <si>
    <t>Experienced devops engineer with 6 years working with adaptability, gitlab ci, grafana</t>
  </si>
  <si>
    <t>CAND_0806</t>
  </si>
  <si>
    <t>critical thinking, problem solving, programming</t>
  </si>
  <si>
    <t>Experienced software developer with 5 years working with critical thinking, problem solving, programming</t>
  </si>
  <si>
    <t>CAND_0807</t>
  </si>
  <si>
    <t>time management, statistics, reporting</t>
  </si>
  <si>
    <t>Experienced analyst with 7 years working with time management, statistics, reporting</t>
  </si>
  <si>
    <t>CAND_0808</t>
  </si>
  <si>
    <t>python, communication, java, sql</t>
  </si>
  <si>
    <t>Experienced developer with 2 years working with python, communication, java</t>
  </si>
  <si>
    <t>CAND_0809</t>
  </si>
  <si>
    <t>teamwork, bash, creativity, security</t>
  </si>
  <si>
    <t>Experienced system administrator with 3 years working with teamwork, bash, creativity</t>
  </si>
  <si>
    <t>CAND_0810</t>
  </si>
  <si>
    <t>adobe creative suite, ui/ux, time management</t>
  </si>
  <si>
    <t>Experienced designer with 3 years working with adobe creative suite, ui/ux, time management</t>
  </si>
  <si>
    <t>CAND_0811</t>
  </si>
  <si>
    <t>mobile, time management, firebase, problem solving, push notifications, flutter</t>
  </si>
  <si>
    <t>Experienced mobile developer with 3 years working with mobile, time management, firebase</t>
  </si>
  <si>
    <t>CAND_0812</t>
  </si>
  <si>
    <t>docker, leadership, mongodb, aws, postgresql</t>
  </si>
  <si>
    <t>Experienced fullstack developer with 9 years working with docker, leadership, mongodb</t>
  </si>
  <si>
    <t>CAND_0813</t>
  </si>
  <si>
    <t>communication, creativity, agile, project management</t>
  </si>
  <si>
    <t>Experienced project manager with 3 years working with communication, creativity, agile</t>
  </si>
  <si>
    <t>CAND_0814</t>
  </si>
  <si>
    <t>adaptability, gitlab ci, terraform, ansible</t>
  </si>
  <si>
    <t>Experienced devops engineer with 1 years working with adaptability, gitlab ci, terraform</t>
  </si>
  <si>
    <t>CAND_0815</t>
  </si>
  <si>
    <t>critical thinking, teamwork, javascript, html, css, nodejs, sql</t>
  </si>
  <si>
    <t>Experienced fullstack developer with 3 years working with critical thinking, teamwork, javascript</t>
  </si>
  <si>
    <t>CAND_0816</t>
  </si>
  <si>
    <t>python, adaptability, time management, requirements analysis, tableau, problem solving, r</t>
  </si>
  <si>
    <t>Experienced business analyst with 7 years working with python, adaptability, time management</t>
  </si>
  <si>
    <t>CAND_0817</t>
  </si>
  <si>
    <t>time management, requirements analysis, powerbi</t>
  </si>
  <si>
    <t>Experienced business analyst with 10 years working with time management, requirements analysis, powerbi</t>
  </si>
  <si>
    <t>CAND_0818</t>
  </si>
  <si>
    <t>linux, communication, docker, jenkins, ansible, terraform, monitoring, aws</t>
  </si>
  <si>
    <t>Experienced devops engineer with 8 years working with linux, communication, docker</t>
  </si>
  <si>
    <t>CAND_0819</t>
  </si>
  <si>
    <t>linux, adaptability, communication, kubernetes, docker, ansible, problem solving</t>
  </si>
  <si>
    <t>CAND_0820</t>
  </si>
  <si>
    <t>critical thinking, communication, project management, leadership, agile</t>
  </si>
  <si>
    <t>Experienced project manager with 9 years working with critical thinking, communication, project management</t>
  </si>
  <si>
    <t>CAND_0821</t>
  </si>
  <si>
    <t>adaptability, postgresql, mongodb, javascript, html, css, sql</t>
  </si>
  <si>
    <t>Experienced fullstack developer with 6 years working with adaptability, postgresql, mongodb</t>
  </si>
  <si>
    <t>CAND_0822</t>
  </si>
  <si>
    <t>teamwork, video editing</t>
  </si>
  <si>
    <t>Experienced content creator with 5 years working with teamwork, video editing</t>
  </si>
  <si>
    <t>CAND_0823</t>
  </si>
  <si>
    <t>numpy, python, adaptability, statistics, problem solving, teamwork, sql</t>
  </si>
  <si>
    <t>Experienced data scientist with 1 years working with numpy, python, adaptability</t>
  </si>
  <si>
    <t>CAND_0824</t>
  </si>
  <si>
    <t>api, java, docker, creativity, go, php, sql</t>
  </si>
  <si>
    <t>Experienced backend developer with 9 years working with api, java, docker</t>
  </si>
  <si>
    <t>CAND_0825</t>
  </si>
  <si>
    <t>critical thinking, ui/ux, adobe creative suite, creativity, wireframing, design, figma</t>
  </si>
  <si>
    <t>CAND_0826</t>
  </si>
  <si>
    <t>critical thinking, project management, risk management, creativity, problem solving, pmp</t>
  </si>
  <si>
    <t>Experienced project manager with 2 years working with critical thinking, project management, risk management</t>
  </si>
  <si>
    <t>CAND_0827</t>
  </si>
  <si>
    <t>adobe creative suite, creativity, html, design, css</t>
  </si>
  <si>
    <t>Experienced designer with 0 years working with adobe creative suite, creativity, html</t>
  </si>
  <si>
    <t>CAND_0828</t>
  </si>
  <si>
    <t>python, adaptability, java, programming</t>
  </si>
  <si>
    <t>Experienced developer with 8 years working with python, adaptability, java</t>
  </si>
  <si>
    <t>CAND_0829</t>
  </si>
  <si>
    <t>adaptability, communication, a/b testing, user research, analytics, creativity, product management</t>
  </si>
  <si>
    <t>Experienced product manager with 6 years working with adaptability, communication, a/b testing</t>
  </si>
  <si>
    <t>CAND_0830</t>
  </si>
  <si>
    <t>critical thinking, adaptability, communication</t>
  </si>
  <si>
    <t>Experienced graphic designer with 1 years working with critical thinking, adaptability, communication</t>
  </si>
  <si>
    <t>CAND_0831</t>
  </si>
  <si>
    <t>responsive design, teamwork, javascript, html, angular, css</t>
  </si>
  <si>
    <t>Experienced frontend developer with 5 years working with responsive design, teamwork, javascript</t>
  </si>
  <si>
    <t>CAND_0832</t>
  </si>
  <si>
    <t>communication, user research, analytics, problem solving, product management, agile, wireframing</t>
  </si>
  <si>
    <t>CAND_0833</t>
  </si>
  <si>
    <t>python, time management, statistics, creativity, leadership, powerbi</t>
  </si>
  <si>
    <t>Experienced analyst with 8 years working with python, time management, statistics</t>
  </si>
  <si>
    <t>CAND_0834</t>
  </si>
  <si>
    <t>python, communication, testing, time management, problem solving, git, sql</t>
  </si>
  <si>
    <t>Experienced developer with 4 years working with python, communication, testing</t>
  </si>
  <si>
    <t>CAND_0835</t>
  </si>
  <si>
    <t>communication, mongodb</t>
  </si>
  <si>
    <t>Experienced fullstack developer with 2 years working with communication, mongodb</t>
  </si>
  <si>
    <t>CAND_0836</t>
  </si>
  <si>
    <t>teamwork, creativity, programming</t>
  </si>
  <si>
    <t>Experienced software developer with 11 years working with teamwork, creativity, programming</t>
  </si>
  <si>
    <t>CAND_0837</t>
  </si>
  <si>
    <t>critical thinking, pandas, creativity, excel, data visualization, problem solving, sql</t>
  </si>
  <si>
    <t>Experienced data analyst with 1 years working with critical thinking, pandas, creativity</t>
  </si>
  <si>
    <t>CAND_0838</t>
  </si>
  <si>
    <t>leadership, teamwork, css, time management</t>
  </si>
  <si>
    <t>Experienced ui ux designer with 4 years working with leadership, teamwork, css</t>
  </si>
  <si>
    <t>CAND_0839</t>
  </si>
  <si>
    <t>typescript, problem solving, teamwork, php, angular</t>
  </si>
  <si>
    <t>Experienced web developer with 2 years working with typescript, problem solving, teamwork</t>
  </si>
  <si>
    <t>CAND_0840</t>
  </si>
  <si>
    <t>adaptability, responsive design, webpack, vue, problem solving, leadership, figma</t>
  </si>
  <si>
    <t>Experienced frontend developer with 1 years working with adaptability, responsive design, webpack</t>
  </si>
  <si>
    <t>CAND_0841</t>
  </si>
  <si>
    <t>problem solving, adaptability, communication</t>
  </si>
  <si>
    <t>Experienced devops engineer with 10 years working with problem solving, adaptability, communication</t>
  </si>
  <si>
    <t>CAND_0842</t>
  </si>
  <si>
    <t>ui/ux, communication, figma</t>
  </si>
  <si>
    <t>Experienced designer with 0 years working with ui/ux, communication, figma</t>
  </si>
  <si>
    <t>CAND_0843</t>
  </si>
  <si>
    <t>problem solving, sass, typescript</t>
  </si>
  <si>
    <t>Experienced frontend developer with 2 years working with problem solving, sass, typescript</t>
  </si>
  <si>
    <t>CAND_0844</t>
  </si>
  <si>
    <t>adaptability, leadership, teamwork, javascript, html, css</t>
  </si>
  <si>
    <t>Experienced web developer with 0 years working with adaptability, leadership, teamwork</t>
  </si>
  <si>
    <t>CAND_0845</t>
  </si>
  <si>
    <t>critical thinking, problem solving, adaptability, agile</t>
  </si>
  <si>
    <t>Experienced business analyst with 7 years working with critical thinking, problem solving, adaptability</t>
  </si>
  <si>
    <t>CAND_0846</t>
  </si>
  <si>
    <t>time management, problem solving, leadership, javascript, html, css, sql</t>
  </si>
  <si>
    <t>Experienced fullstack developer with 3 years working with time management, problem solving, leadership</t>
  </si>
  <si>
    <t>CAND_0847</t>
  </si>
  <si>
    <t>monitoring, networking, communication, vmware</t>
  </si>
  <si>
    <t>Experienced system administrator with 7 years working with monitoring, networking, communication</t>
  </si>
  <si>
    <t>CAND_0848</t>
  </si>
  <si>
    <t>critical thinking, linux, communication, windows, monitoring, problem solving, vmware</t>
  </si>
  <si>
    <t>Experienced system administrator with 2 years working with critical thinking, linux, communication</t>
  </si>
  <si>
    <t>CAND_0849</t>
  </si>
  <si>
    <t>critical thinking, linux, windows, security, networking, leadership, powershell</t>
  </si>
  <si>
    <t>Experienced system administrator with 3 years working with critical thinking, linux, windows</t>
  </si>
  <si>
    <t>CAND_0850</t>
  </si>
  <si>
    <t>digital marketing, critical thinking, adaptability, email marketing, sem, leadership</t>
  </si>
  <si>
    <t>Experienced digital marketer with 0 years working with digital marketing, critical thinking, adaptability</t>
  </si>
  <si>
    <t>CAND_0851</t>
  </si>
  <si>
    <t>python, api, creativity, problem solving, azure, sql</t>
  </si>
  <si>
    <t>Experienced backend developer with 6 years working with python, api, creativity</t>
  </si>
  <si>
    <t>CAND_0852</t>
  </si>
  <si>
    <t>adaptability, time management, data analysis, excel, creativity, powerbi</t>
  </si>
  <si>
    <t>Experienced analyst with 5 years working with adaptability, time management, data analysis</t>
  </si>
  <si>
    <t>CAND_0853</t>
  </si>
  <si>
    <t>linux, docker, gitlab ci, creativity, leadership, problem solving, azure, monitoring</t>
  </si>
  <si>
    <t>Experienced devops engineer with 1 years working with linux, docker, gitlab ci</t>
  </si>
  <si>
    <t>CAND_0854</t>
  </si>
  <si>
    <t>adaptability, docker, time management, react, javascript, html, microservices, css, sql</t>
  </si>
  <si>
    <t>Experienced fullstack developer with 1 years working with adaptability, docker, time management</t>
  </si>
  <si>
    <t>CAND_0855</t>
  </si>
  <si>
    <t>critical thinking, python, javascript, sql</t>
  </si>
  <si>
    <t>Experienced developer with 5 years working with critical thinking, python, javascript</t>
  </si>
  <si>
    <t>CAND_0856</t>
  </si>
  <si>
    <t>numpy, python, pandas, machine learning, teamwork, sql</t>
  </si>
  <si>
    <t>Experienced data scientist with 10 years working with numpy, python, pandas</t>
  </si>
  <si>
    <t>CAND_0857</t>
  </si>
  <si>
    <t>critical thinking, docker, creativity, react, postgresql, mongodb, javascript, html, css, sql</t>
  </si>
  <si>
    <t>Experienced fullstack developer with 8 years working with critical thinking, docker, creativity</t>
  </si>
  <si>
    <t>CAND_0858</t>
  </si>
  <si>
    <t>web design, adobe creative suite, creativity, photoshop, print design, design</t>
  </si>
  <si>
    <t>Experienced graphic designer with 6 years working with web design, adobe creative suite, creativity</t>
  </si>
  <si>
    <t>CAND_0859</t>
  </si>
  <si>
    <t>numpy, pandas, hadoop, leadership, tensorflow</t>
  </si>
  <si>
    <t>Experienced data scientist with 5 years working with numpy, pandas, hadoop</t>
  </si>
  <si>
    <t>CAND_0860</t>
  </si>
  <si>
    <t>api, kubernetes, java, docker, creativity, sql</t>
  </si>
  <si>
    <t>Experienced backend developer with 0 years working with api, kubernetes, java</t>
  </si>
  <si>
    <t>CAND_0861</t>
  </si>
  <si>
    <t>critical thinking, time management, statistics, problem solving, reporting</t>
  </si>
  <si>
    <t>Experienced analyst with 7 years working with critical thinking, time management, statistics</t>
  </si>
  <si>
    <t>CAND_0862</t>
  </si>
  <si>
    <t>python, api, java, docker, c#, leadership, teamwork, problem solving, sql</t>
  </si>
  <si>
    <t>Experienced backend developer with 8 years working with python, api, java</t>
  </si>
  <si>
    <t>CAND_0863</t>
  </si>
  <si>
    <t>html, creativity, webpack, react, teamwork, php, javascript, angular, css</t>
  </si>
  <si>
    <t>Experienced web developer with 1 years working with html, creativity, webpack</t>
  </si>
  <si>
    <t>CAND_0864</t>
  </si>
  <si>
    <t>adaptability, requirements analysis, excel, business intelligence, tableau, agile, sql</t>
  </si>
  <si>
    <t>Experienced business analyst with 0 years working with adaptability, requirements analysis, excel</t>
  </si>
  <si>
    <t>CAND_0865</t>
  </si>
  <si>
    <t>adaptability, programming, leadership, git, javascript, sql</t>
  </si>
  <si>
    <t>Experienced developer with 1 years working with adaptability, programming, leadership</t>
  </si>
  <si>
    <t>CAND_0866</t>
  </si>
  <si>
    <t>python, docker, time management, react, javascript, html, microservices, css, sql</t>
  </si>
  <si>
    <t>Experienced fullstack developer with 10 years working with python, docker, time management</t>
  </si>
  <si>
    <t>CAND_0867</t>
  </si>
  <si>
    <t>adaptability, communication, leadership, prototyping, html, design, figma</t>
  </si>
  <si>
    <t>Experienced designer with 0 years working with adaptability, communication, leadership</t>
  </si>
  <si>
    <t>CAND_0868</t>
  </si>
  <si>
    <t>pandas, time management, excel, machine learning, teamwork, sql</t>
  </si>
  <si>
    <t>Experienced data analyst with 1 years working with pandas, time management, excel</t>
  </si>
  <si>
    <t>CAND_0869</t>
  </si>
  <si>
    <t>communication, time management, webpack, typescript, leadership</t>
  </si>
  <si>
    <t>Experienced frontend developer with 1 years working with communication, time management, webpack</t>
  </si>
  <si>
    <t>CAND_0870</t>
  </si>
  <si>
    <t>content writing, communication, copywriting, content strategy, time management, creativity, teamwork, wordpress, social media, video editing</t>
  </si>
  <si>
    <t>Experienced content creator with 1 years working with content writing, communication, copywriting</t>
  </si>
  <si>
    <t>CAND_0871</t>
  </si>
  <si>
    <t>critical thinking, leadership, ci/cd, performance testing</t>
  </si>
  <si>
    <t>Experienced qa engineer with 1 years working with critical thinking, leadership, ci/cd</t>
  </si>
  <si>
    <t>CAND_0872</t>
  </si>
  <si>
    <t>teamwork, gitlab ci, grafana</t>
  </si>
  <si>
    <t>Experienced devops engineer with 10 years working with teamwork, gitlab ci, grafana</t>
  </si>
  <si>
    <t>CAND_0873</t>
  </si>
  <si>
    <t>critical thinking, ui/ux, adobe creative suite, problem solving, design</t>
  </si>
  <si>
    <t>Experienced designer with 8 years working with critical thinking, ui/ux, adobe creative suite</t>
  </si>
  <si>
    <t>CAND_0874</t>
  </si>
  <si>
    <t>leadership, adaptability, time management</t>
  </si>
  <si>
    <t>Experienced data scientist with 0 years working with leadership, adaptability, time management</t>
  </si>
  <si>
    <t>CAND_0875</t>
  </si>
  <si>
    <t>critical thinking, testing, creativity, api testing, quality assurance, selenium, ci/cd, automation testing</t>
  </si>
  <si>
    <t>Experienced qa engineer with 3 years working with critical thinking, testing, creativity</t>
  </si>
  <si>
    <t>CAND_0876</t>
  </si>
  <si>
    <t>adaptability, testing, quality assurance, security testing, ci/cd</t>
  </si>
  <si>
    <t>Experienced qa engineer with 9 years working with adaptability, testing, quality assurance</t>
  </si>
  <si>
    <t>CAND_0877</t>
  </si>
  <si>
    <t>adobe creative suite, creativity, html, design, figma</t>
  </si>
  <si>
    <t>CAND_0878</t>
  </si>
  <si>
    <t>critical thinking, jira, communication, project management, risk management, agile, pmp</t>
  </si>
  <si>
    <t>Experienced project manager with 2 years working with critical thinking, jira, communication</t>
  </si>
  <si>
    <t>CAND_0879</t>
  </si>
  <si>
    <t>api testing, leadership, teamwork, selenium, automation testing, bug tracking</t>
  </si>
  <si>
    <t>Experienced qa engineer with 0 years working with api testing, leadership, teamwork</t>
  </si>
  <si>
    <t>CAND_0880</t>
  </si>
  <si>
    <t>adaptability, communication, testing, api testing, quality assurance, ci/cd, automation testing, bug tracking</t>
  </si>
  <si>
    <t>Experienced qa engineer with 6 years working with adaptability, communication, testing</t>
  </si>
  <si>
    <t>CAND_0881</t>
  </si>
  <si>
    <t>python, adaptability, creativity, tableau, machine learning</t>
  </si>
  <si>
    <t>Experienced data analyst with 9 years working with python, adaptability, creativity</t>
  </si>
  <si>
    <t>CAND_0882</t>
  </si>
  <si>
    <t>linux, communication, windows, bash, vmware, networking, monitoring</t>
  </si>
  <si>
    <t>CAND_0883</t>
  </si>
  <si>
    <t>ui/ux, communication, webpack, leadership, teamwork, javascript, html, css</t>
  </si>
  <si>
    <t>Experienced frontend developer with 5 years working with ui/ux, communication, webpack</t>
  </si>
  <si>
    <t>CAND_0884</t>
  </si>
  <si>
    <t>selenium, teamwork, manual testing, adaptability</t>
  </si>
  <si>
    <t>Experienced qa engineer with 0 years working with selenium, teamwork, manual testing</t>
  </si>
  <si>
    <t>CAND_0885</t>
  </si>
  <si>
    <t>graphic design, seo, content writing, communication, teamwork</t>
  </si>
  <si>
    <t>Experienced content creator with 7 years working with graphic design, seo, content writing</t>
  </si>
  <si>
    <t>CAND_0886</t>
  </si>
  <si>
    <t>teamwork, creativity, git</t>
  </si>
  <si>
    <t>Experienced developer with 6 years working with teamwork, creativity, git</t>
  </si>
  <si>
    <t>CAND_0887</t>
  </si>
  <si>
    <t>sem, content marketing, communication, email marketing</t>
  </si>
  <si>
    <t>Experienced digital marketer with 1 years working with sem, content marketing, communication</t>
  </si>
  <si>
    <t>CAND_0888</t>
  </si>
  <si>
    <t>teamwork, creativity, communication, figma</t>
  </si>
  <si>
    <t>Experienced designer with 8 years working with teamwork, creativity, communication</t>
  </si>
  <si>
    <t>CAND_0889</t>
  </si>
  <si>
    <t>selenium, teamwork, automation testing, performance testing</t>
  </si>
  <si>
    <t>Experienced qa engineer with 9 years working with selenium, teamwork, automation testing</t>
  </si>
  <si>
    <t>CAND_0890</t>
  </si>
  <si>
    <t>adaptability, java</t>
  </si>
  <si>
    <t>Experienced software developer with 1 years working with adaptability, java</t>
  </si>
  <si>
    <t>CAND_0891</t>
  </si>
  <si>
    <t>java, mobile, kotlin, problem solving, teamwork, push notifications, app store</t>
  </si>
  <si>
    <t>Experienced mobile developer with 5 years working with java, mobile, kotlin</t>
  </si>
  <si>
    <t>CAND_0892</t>
  </si>
  <si>
    <t>docker, linux, creativity</t>
  </si>
  <si>
    <t>Experienced devops engineer with 10 years working with docker, linux, creativity</t>
  </si>
  <si>
    <t>CAND_0893</t>
  </si>
  <si>
    <t>adaptability, typography, adobe creative suite, color theory, time management, branding, design</t>
  </si>
  <si>
    <t>Experienced graphic designer with 4 years working with adaptability, typography, adobe creative suite</t>
  </si>
  <si>
    <t>CAND_0894</t>
  </si>
  <si>
    <t>adobe creative suite, time management, problem solving, prototyping, html, design</t>
  </si>
  <si>
    <t>Experienced designer with 5 years working with adobe creative suite, time management, problem solving</t>
  </si>
  <si>
    <t>CAND_0895</t>
  </si>
  <si>
    <t>adaptability, jira, communication, leadership, problem solving, agile, confluence</t>
  </si>
  <si>
    <t>Experienced project manager with 7 years working with adaptability, jira, communication</t>
  </si>
  <si>
    <t>CAND_0896</t>
  </si>
  <si>
    <t>critical thinking, communication, adobe creative suite, leadership, design</t>
  </si>
  <si>
    <t>Experienced graphic designer with 1 years working with critical thinking, communication, adobe creative suite</t>
  </si>
  <si>
    <t>CAND_0897</t>
  </si>
  <si>
    <t>digital marketing, adaptability, email marketing, creativity, problem solving, social media</t>
  </si>
  <si>
    <t>Experienced digital marketer with 7 years working with digital marketing, adaptability, email marketing</t>
  </si>
  <si>
    <t>CAND_0898</t>
  </si>
  <si>
    <t>critical thinking, time management, creativity, typescript, javascript, html, css</t>
  </si>
  <si>
    <t>Experienced web developer with 10 years working with critical thinking, time management, creativity</t>
  </si>
  <si>
    <t>CAND_0899</t>
  </si>
  <si>
    <t>python, statistics, tableau, problem solving, sql</t>
  </si>
  <si>
    <t>Experienced analyst with 8 years working with python, statistics, tableau</t>
  </si>
  <si>
    <t>CAND_0900</t>
  </si>
  <si>
    <t>python, api, java, teamwork, aws, sql</t>
  </si>
  <si>
    <t>Experienced backend developer with 9 years working with python, api, java</t>
  </si>
  <si>
    <t>CAND_0901</t>
  </si>
  <si>
    <t>python, time management, sql, programming</t>
  </si>
  <si>
    <t>Experienced developer with 4 years working with python, time management, sql</t>
  </si>
  <si>
    <t>CAND_0902</t>
  </si>
  <si>
    <t>critical thinking, linux, communication, kubernetes, docker, time management</t>
  </si>
  <si>
    <t>Experienced devops engineer with 2 years working with critical thinking, linux, communication</t>
  </si>
  <si>
    <t>CAND_0903</t>
  </si>
  <si>
    <t>adobe creative suite, time management, problem solving, leadership, design</t>
  </si>
  <si>
    <t>Experienced graphic designer with 5 years working with adobe creative suite, time management, problem solving</t>
  </si>
  <si>
    <t>CAND_0904</t>
  </si>
  <si>
    <t>python, api, time management, microservices, aws, sql</t>
  </si>
  <si>
    <t>Experienced backend developer with 6 years working with python, api, time management</t>
  </si>
  <si>
    <t>CAND_0905</t>
  </si>
  <si>
    <t>critical thinking, communication, teamwork, prototyping, sketch, figma</t>
  </si>
  <si>
    <t>Experienced ui ux designer with 6 years working with critical thinking, communication, teamwork</t>
  </si>
  <si>
    <t>CAND_0906</t>
  </si>
  <si>
    <t>testing, performance testing, problem solving, quality assurance, ci/cd</t>
  </si>
  <si>
    <t>Experienced qa engineer with 0 years working with testing, performance testing, problem solving</t>
  </si>
  <si>
    <t>CAND_0907</t>
  </si>
  <si>
    <t>content writing, communication, content strategy, leadership, wordpress, video editing</t>
  </si>
  <si>
    <t>Experienced content creator with 1 years working with content writing, communication, content strategy</t>
  </si>
  <si>
    <t>CAND_0908</t>
  </si>
  <si>
    <t>python, time management, data analysis, excel, leadership, r</t>
  </si>
  <si>
    <t>Experienced analyst with 8 years working with python, time management, data analysis</t>
  </si>
  <si>
    <t>CAND_0909</t>
  </si>
  <si>
    <t>time management, css</t>
  </si>
  <si>
    <t>Experienced ui ux designer with 5 years working with time management, css</t>
  </si>
  <si>
    <t>CAND_0910</t>
  </si>
  <si>
    <t>adaptability, data analysis, excel, problem solving, r, sql</t>
  </si>
  <si>
    <t>Experienced analyst with 1 years working with adaptability, data analysis, excel</t>
  </si>
  <si>
    <t>CAND_0911</t>
  </si>
  <si>
    <t>critical thinking, python, adaptability, communication, devops, nodejs, postgresql</t>
  </si>
  <si>
    <t>Experienced fullstack developer with 10 years working with critical thinking, python, adaptability</t>
  </si>
  <si>
    <t>CAND_0912</t>
  </si>
  <si>
    <t>graphic design, seo, communication, copywriting, creativity, wordpress</t>
  </si>
  <si>
    <t>Experienced content creator with 5 years working with graphic design, seo, communication</t>
  </si>
  <si>
    <t>CAND_0913</t>
  </si>
  <si>
    <t>leadership, sass</t>
  </si>
  <si>
    <t>Experienced frontend developer with 10 years working with leadership, sass</t>
  </si>
  <si>
    <t>CAND_0914</t>
  </si>
  <si>
    <t>html, problem solving, php, javascript, css, sass, nodejs, postgresql</t>
  </si>
  <si>
    <t>Experienced web developer with 6 years working with html, problem solving, php</t>
  </si>
  <si>
    <t>CAND_0915</t>
  </si>
  <si>
    <t>leadership, requirements analysis, excel, sql</t>
  </si>
  <si>
    <t>Experienced business analyst with 0 years working with leadership, requirements analysis, excel</t>
  </si>
  <si>
    <t>CAND_0916</t>
  </si>
  <si>
    <t>critical thinking, machine learning, teamwork, data visualization</t>
  </si>
  <si>
    <t>Experienced data analyst with 7 years working with critical thinking, machine learning, teamwork</t>
  </si>
  <si>
    <t>CAND_0917</t>
  </si>
  <si>
    <t>python, adaptability, time management, data analysis, excel</t>
  </si>
  <si>
    <t>Experienced analyst with 4 years working with python, adaptability, time management</t>
  </si>
  <si>
    <t>CAND_0918</t>
  </si>
  <si>
    <t>leadership, jira, communication</t>
  </si>
  <si>
    <t>Experienced project manager with 6 years working with leadership, jira, communication</t>
  </si>
  <si>
    <t>CAND_0919</t>
  </si>
  <si>
    <t>digital marketing, seo, conversion optimization, sem, time management, teamwork, social media, google ads</t>
  </si>
  <si>
    <t>Experienced digital marketer with 6 years working with digital marketing, seo, conversion optimization</t>
  </si>
  <si>
    <t>CAND_0920</t>
  </si>
  <si>
    <t>critical thinking, testing, problem solving, leadership, manual testing, quality assurance, selenium, bug tracking</t>
  </si>
  <si>
    <t>Experienced qa engineer with 1 years working with critical thinking, testing, problem solving</t>
  </si>
  <si>
    <t>CAND_0921</t>
  </si>
  <si>
    <t>python, java, programming, leadership, c++</t>
  </si>
  <si>
    <t>Experienced software developer with 1 years working with python, java, programming</t>
  </si>
  <si>
    <t>CAND_0922</t>
  </si>
  <si>
    <t>critical thinking, python, api, communication, java, docker, c#, sql</t>
  </si>
  <si>
    <t>Experienced backend developer with 8 years working with critical thinking, python, api</t>
  </si>
  <si>
    <t>CAND_0923</t>
  </si>
  <si>
    <t>content strategy, time management, creativity, problem solving, wordpress</t>
  </si>
  <si>
    <t>Experienced content creator with 3 years working with content strategy, time management, creativity</t>
  </si>
  <si>
    <t>CAND_0924</t>
  </si>
  <si>
    <t>indesign, illustrator, adobe creative suite, time management, problem solving, teamwork, design</t>
  </si>
  <si>
    <t>Experienced graphic designer with 2 years working with indesign, illustrator, adobe creative suite</t>
  </si>
  <si>
    <t>CAND_0925</t>
  </si>
  <si>
    <t>critical thinking, python, time management, creativity, excel, r, sql</t>
  </si>
  <si>
    <t>Experienced business analyst with 1 years working with critical thinking, python, time management</t>
  </si>
  <si>
    <t>CAND_0926</t>
  </si>
  <si>
    <t>communication, react, teamwork, javascript, html, css, aws, sql</t>
  </si>
  <si>
    <t>Experienced fullstack developer with 4 years working with communication, react, teamwork</t>
  </si>
  <si>
    <t>CAND_0927</t>
  </si>
  <si>
    <t>docker, programming, problem solving, agile, javascript</t>
  </si>
  <si>
    <t>Experienced software developer with 0 years working with docker, programming, problem solving</t>
  </si>
  <si>
    <t>CAND_0928</t>
  </si>
  <si>
    <t>time management, adaptability</t>
  </si>
  <si>
    <t>Experienced devops engineer with 8 years working with time management, adaptability</t>
  </si>
  <si>
    <t>CAND_0929</t>
  </si>
  <si>
    <t>adaptability, react</t>
  </si>
  <si>
    <t>Experienced frontend developer with 7 years working with adaptability, react</t>
  </si>
  <si>
    <t>CAND_0930</t>
  </si>
  <si>
    <t>leadership</t>
  </si>
  <si>
    <t>Experienced content creator with 9 years working with leadership</t>
  </si>
  <si>
    <t>CAND_0931</t>
  </si>
  <si>
    <t>communication, mongodb, aws</t>
  </si>
  <si>
    <t>Experienced fullstack developer with 9 years working with communication, mongodb, aws</t>
  </si>
  <si>
    <t>CAND_0932</t>
  </si>
  <si>
    <t>critical thinking, problem solving, communication</t>
  </si>
  <si>
    <t>Experienced mobile developer with 2 years working with critical thinking, problem solving, communication</t>
  </si>
  <si>
    <t>CAND_0933</t>
  </si>
  <si>
    <t>time management, jenkins, azure, terraform, aws</t>
  </si>
  <si>
    <t>Experienced devops engineer with 0 years working with time management, jenkins, azure</t>
  </si>
  <si>
    <t>CAND_0934</t>
  </si>
  <si>
    <t>critical thinking, adaptability, docker, react, problem solving, mongodb, javascript, html, css, nodejs, sql</t>
  </si>
  <si>
    <t>Experienced fullstack developer with 3 years working with critical thinking, adaptability, docker</t>
  </si>
  <si>
    <t>CAND_0935</t>
  </si>
  <si>
    <t>critical thinking, statistics, data analysis, excel, tableau, problem solving, powerbi, sql</t>
  </si>
  <si>
    <t>Experienced analyst with 9 years working with critical thinking, statistics, data analysis</t>
  </si>
  <si>
    <t>CAND_0936</t>
  </si>
  <si>
    <t>r, problem solving, creativity, process modeling</t>
  </si>
  <si>
    <t>Experienced business analyst with 10 years working with r, problem solving, creativity</t>
  </si>
  <si>
    <t>CAND_0937</t>
  </si>
  <si>
    <t>seo, content writing, communication, content strategy, time management, wordpress, social media</t>
  </si>
  <si>
    <t>CAND_0938</t>
  </si>
  <si>
    <t>api, time management, creativity, php, sql</t>
  </si>
  <si>
    <t>Experienced backend developer with 6 years working with api, time management, creativity</t>
  </si>
  <si>
    <t>CAND_0939</t>
  </si>
  <si>
    <t>testing, time management, creativity, leadership, quality assurance, ci/cd</t>
  </si>
  <si>
    <t>Experienced qa engineer with 9 years working with testing, time management, creativity</t>
  </si>
  <si>
    <t>CAND_0940</t>
  </si>
  <si>
    <t>adaptability, azure, terraform, aws</t>
  </si>
  <si>
    <t>Experienced devops engineer with 0 years working with adaptability, azure, terraform</t>
  </si>
  <si>
    <t>CAND_0941</t>
  </si>
  <si>
    <t>communication, time management, a/b testing, user research, analytics, product management, wireframing</t>
  </si>
  <si>
    <t>Experienced product manager with 4 years working with communication, time management, a/b testing</t>
  </si>
  <si>
    <t>CAND_0942</t>
  </si>
  <si>
    <t>adobe creative suite, design, color theory, problem solving</t>
  </si>
  <si>
    <t>Experienced graphic designer with 2 years working with adobe creative suite, design, color theory</t>
  </si>
  <si>
    <t>CAND_0943</t>
  </si>
  <si>
    <t>critical thinking, adaptability, copywriting, social media, video editing</t>
  </si>
  <si>
    <t>Experienced content creator with 0 years working with critical thinking, adaptability, copywriting</t>
  </si>
  <si>
    <t>CAND_0944</t>
  </si>
  <si>
    <t>ui/ux, adaptability, problem solving, leadership, figma</t>
  </si>
  <si>
    <t>Experienced designer with 0 years working with ui/ux, adaptability, problem solving</t>
  </si>
  <si>
    <t>CAND_0945</t>
  </si>
  <si>
    <t>ui/ux, adaptability, adobe creative suite, creativity, prototyping, design, sketch</t>
  </si>
  <si>
    <t>Experienced ui ux designer with 1 years working with ui/ux, adaptability, adobe creative suite</t>
  </si>
  <si>
    <t>CAND_0946</t>
  </si>
  <si>
    <t>critical thinking, mobile, problem solving, flutter, app store</t>
  </si>
  <si>
    <t>Experienced mobile developer with 0 years working with critical thinking, mobile, problem solving</t>
  </si>
  <si>
    <t>CAND_0947</t>
  </si>
  <si>
    <t>video editing, content writing, leadership, communication</t>
  </si>
  <si>
    <t>Experienced content creator with 5 years working with video editing, content writing, leadership</t>
  </si>
  <si>
    <t>CAND_0948</t>
  </si>
  <si>
    <t>critical thinking, docker, c#, teamwork, azure, php</t>
  </si>
  <si>
    <t>Experienced backend developer with 8 years working with critical thinking, docker, c#</t>
  </si>
  <si>
    <t>CAND_0949</t>
  </si>
  <si>
    <t>react, vue, problem solving, javascript, html, angular, css, figma</t>
  </si>
  <si>
    <t>Experienced frontend developer with 5 years working with react, vue, problem solving</t>
  </si>
  <si>
    <t>CAND_0950</t>
  </si>
  <si>
    <t>critical thinking, time management, react, teamwork, php, sass, postgresql</t>
  </si>
  <si>
    <t>Experienced web developer with 3 years working with critical thinking, time management, react</t>
  </si>
  <si>
    <t>CAND_0951</t>
  </si>
  <si>
    <t>critical thinking, ui/ux, creativity, responsive design, vue, leadership, angular</t>
  </si>
  <si>
    <t>Experienced frontend developer with 9 years working with critical thinking, ui/ux, creativity</t>
  </si>
  <si>
    <t>CAND_0952</t>
  </si>
  <si>
    <t>python, time management, excel, powerbi, r, sql</t>
  </si>
  <si>
    <t>Experienced data analyst with 6 years working with python, time management, excel</t>
  </si>
  <si>
    <t>CAND_0953</t>
  </si>
  <si>
    <t>adaptability, typescript, problem solving, teamwork, javascript, html, css, nodejs, postgresql</t>
  </si>
  <si>
    <t>Experienced web developer with 4 years working with adaptability, typescript, problem solving</t>
  </si>
  <si>
    <t>CAND_0954</t>
  </si>
  <si>
    <t>critical thinking, kubernetes, time management, grafana, terraform</t>
  </si>
  <si>
    <t>Experienced devops engineer with 1 years working with critical thinking, kubernetes, time management</t>
  </si>
  <si>
    <t>CAND_0955</t>
  </si>
  <si>
    <t>critical thinking, python, tensorflow, sql</t>
  </si>
  <si>
    <t>Experienced data scientist with 2 years working with critical thinking, python, tensorflow</t>
  </si>
  <si>
    <t>CAND_0956</t>
  </si>
  <si>
    <t>digital marketing, critical thinking, communication, sem, analytics, teamwork, content marketing</t>
  </si>
  <si>
    <t>Experienced digital marketer with 10 years working with digital marketing, critical thinking, communication</t>
  </si>
  <si>
    <t>CAND_0957</t>
  </si>
  <si>
    <t>critical thinking, adobe creative suite, user research, problem solving, sketch, figma</t>
  </si>
  <si>
    <t>Experienced ui ux designer with 3 years working with critical thinking, adobe creative suite, user research</t>
  </si>
  <si>
    <t>CAND_0958</t>
  </si>
  <si>
    <t>adaptability, communication, bash, creativity, networking, powershell</t>
  </si>
  <si>
    <t>Experienced system administrator with 6 years working with adaptability, communication, bash</t>
  </si>
  <si>
    <t>CAND_0959</t>
  </si>
  <si>
    <t>python, adaptability, azure, php</t>
  </si>
  <si>
    <t>Experienced backend developer with 8 years working with python, adaptability, azure</t>
  </si>
  <si>
    <t>CAND_0960</t>
  </si>
  <si>
    <t>numpy, python, adaptability, critical thinking, deep learning, sql</t>
  </si>
  <si>
    <t>Experienced data scientist with 2 years working with numpy, python, adaptability</t>
  </si>
  <si>
    <t>CAND_0961</t>
  </si>
  <si>
    <t>critical thinking, jira, communication, project management, stakeholder management</t>
  </si>
  <si>
    <t>Experienced project manager with 0 years working with critical thinking, jira, communication</t>
  </si>
  <si>
    <t>CAND_0962</t>
  </si>
  <si>
    <t>communication, roadmap planning, creativity, user research, analytics, leadership, teamwork, product management</t>
  </si>
  <si>
    <t>Experienced product manager with 7 years working with communication, roadmap planning, creativity</t>
  </si>
  <si>
    <t>CAND_0963</t>
  </si>
  <si>
    <t>linux, docker, grafana, problem solving, leadership, prometheus</t>
  </si>
  <si>
    <t>Experienced devops engineer with 4 years working with linux, docker, grafana</t>
  </si>
  <si>
    <t>CAND_0964</t>
  </si>
  <si>
    <t>kotlin, problem solving</t>
  </si>
  <si>
    <t>Experienced mobile developer with 1 years working with kotlin, problem solving</t>
  </si>
  <si>
    <t>CAND_0965</t>
  </si>
  <si>
    <t>graphic design, content writing, adaptability, communication, content strategy, creativity, teamwork, wordpress</t>
  </si>
  <si>
    <t>Experienced content creator with 10 years working with graphic design, content writing, adaptability</t>
  </si>
  <si>
    <t>CAND_0966</t>
  </si>
  <si>
    <t>critical thinking, python, communication, programming, agile</t>
  </si>
  <si>
    <t>Experienced software developer with 8 years working with critical thinking, python, communication</t>
  </si>
  <si>
    <t>CAND_0967</t>
  </si>
  <si>
    <t>communication, roadmap planning, time management, a/b testing, user research, analytics, leadership, product management, wireframing</t>
  </si>
  <si>
    <t>CAND_0968</t>
  </si>
  <si>
    <t>creativity, excel, tableau, agile, powerbi, sql</t>
  </si>
  <si>
    <t>Experienced business analyst with 10 years working with creativity, excel, tableau</t>
  </si>
  <si>
    <t>CAND_0969</t>
  </si>
  <si>
    <t>critical thinking, adaptability, go, leadership, azure, php, nodejs</t>
  </si>
  <si>
    <t>Experienced backend developer with 1 years working with critical thinking, adaptability, go</t>
  </si>
  <si>
    <t>CAND_0970</t>
  </si>
  <si>
    <t>content writing, adaptability, communication, creativity, analytics, problem solving, wordpress</t>
  </si>
  <si>
    <t>Experienced content creator with 7 years working with content writing, adaptability, communication</t>
  </si>
  <si>
    <t>CAND_0971</t>
  </si>
  <si>
    <t>ui/ux, communication, adobe creative suite, time management, user research, design, sketch, figma</t>
  </si>
  <si>
    <t>Experienced ui ux designer with 2 years working with ui/ux, communication, adobe creative suite</t>
  </si>
  <si>
    <t>CAND_0972</t>
  </si>
  <si>
    <t>communication, roadmap planning, creativity, analytics, problem solving</t>
  </si>
  <si>
    <t>Experienced product manager with 0 years working with communication, roadmap planning, creativity</t>
  </si>
  <si>
    <t>CAND_0973</t>
  </si>
  <si>
    <t>adaptability, communication, testing, quality assurance, security testing, automation testing</t>
  </si>
  <si>
    <t>Experienced qa engineer with 0 years working with adaptability, communication, testing</t>
  </si>
  <si>
    <t>CAND_0974</t>
  </si>
  <si>
    <t>risk management, communication, project management</t>
  </si>
  <si>
    <t>Experienced project manager with 10 years working with risk management, communication, project management</t>
  </si>
  <si>
    <t>CAND_0975</t>
  </si>
  <si>
    <t>critical thinking, creativity, excel, teamwork, process modeling, sql</t>
  </si>
  <si>
    <t>Experienced business analyst with 7 years working with critical thinking, creativity, excel</t>
  </si>
  <si>
    <t>CAND_0976</t>
  </si>
  <si>
    <t>ui/ux, time management, creativity, leadership, prototyping, design, sketch</t>
  </si>
  <si>
    <t>Experienced ui ux designer with 1 years working with ui/ux, time management, creativity</t>
  </si>
  <si>
    <t>CAND_0977</t>
  </si>
  <si>
    <t>react native, communication, mobile, time management, google play, kotlin, problem solving, flutter, app store</t>
  </si>
  <si>
    <t>Experienced mobile developer with 0 years working with react native, communication, mobile</t>
  </si>
  <si>
    <t>CAND_0978</t>
  </si>
  <si>
    <t>critical thinking, sketch, communication</t>
  </si>
  <si>
    <t>Experienced ui ux designer with 6 years working with critical thinking, sketch, communication</t>
  </si>
  <si>
    <t>CAND_0979</t>
  </si>
  <si>
    <t>creativity, testing, programming</t>
  </si>
  <si>
    <t>Experienced software developer with 7 years working with creativity, testing, programming</t>
  </si>
  <si>
    <t>CAND_0980</t>
  </si>
  <si>
    <t>critical thinking, jira, communication, project management, pmp</t>
  </si>
  <si>
    <t>Experienced project manager with 3 years working with critical thinking, jira, communication</t>
  </si>
  <si>
    <t>CAND_0981</t>
  </si>
  <si>
    <t>critical thinking, adaptability, adobe creative suite, time management, design</t>
  </si>
  <si>
    <t>Experienced graphic designer with 4 years working with critical thinking, adaptability, adobe creative suite</t>
  </si>
  <si>
    <t>CAND_0982</t>
  </si>
  <si>
    <t>critical thinking, linux, docker, creativity, ansible, problem solving, terraform, prometheus</t>
  </si>
  <si>
    <t>Experienced devops engineer with 7 years working with critical thinking, linux, docker</t>
  </si>
  <si>
    <t>CAND_0983</t>
  </si>
  <si>
    <t>critical thinking, ui/ux, creativity, teamwork, angular, figma</t>
  </si>
  <si>
    <t>Experienced frontend developer with 1 years working with critical thinking, ui/ux, creativity</t>
  </si>
  <si>
    <t>CAND_0984</t>
  </si>
  <si>
    <t>critical thinking, programming</t>
  </si>
  <si>
    <t>Experienced software developer with 0 years working with critical thinking, programming</t>
  </si>
  <si>
    <t>CAND_0985</t>
  </si>
  <si>
    <t>critical thinking, creativity, business intelligence, powerbi, r, process modeling</t>
  </si>
  <si>
    <t>Experienced business analyst with 2 years working with critical thinking, creativity, business intelligence</t>
  </si>
  <si>
    <t>CAND_0986</t>
  </si>
  <si>
    <t>leadership, javascript, java</t>
  </si>
  <si>
    <t>Experienced software developer with 3 years working with leadership, javascript, java</t>
  </si>
  <si>
    <t>CAND_0987</t>
  </si>
  <si>
    <t>linux, kubernetes, docker, problem solving, terraform, prometheus</t>
  </si>
  <si>
    <t>Experienced devops engineer with 8 years working with linux, kubernetes, docker</t>
  </si>
  <si>
    <t>CAND_0988</t>
  </si>
  <si>
    <t>linux, adaptability, communication, kubernetes, docker, jenkins, problem solving, azure, terraform</t>
  </si>
  <si>
    <t>Experienced devops engineer with 9 years working with linux, adaptability, communication</t>
  </si>
  <si>
    <t>CAND_0989</t>
  </si>
  <si>
    <t>leadership, product management, communication, wireframing</t>
  </si>
  <si>
    <t>Experienced product manager with 3 years working with leadership, product management, communication</t>
  </si>
  <si>
    <t>CAND_0990</t>
  </si>
  <si>
    <t>adaptability, azure, ansible</t>
  </si>
  <si>
    <t>Experienced devops engineer with 11 years working with adaptability, azure, ansible</t>
  </si>
  <si>
    <t>CAND_0991</t>
  </si>
  <si>
    <t>ui/ux, adaptability, communication, creativity, react, javascript, html, css</t>
  </si>
  <si>
    <t>Experienced frontend developer with 5 years working with ui/ux, adaptability, communication</t>
  </si>
  <si>
    <t>CAND_0992</t>
  </si>
  <si>
    <t>critical thinking, python, pandas, leadership, problem solving, tensorflow, pytorch, sql</t>
  </si>
  <si>
    <t>Experienced data scientist with 9 years working with critical thinking, python, pandas</t>
  </si>
  <si>
    <t>CAND_0993</t>
  </si>
  <si>
    <t>adaptability, linux, docker, problem solving, teamwork</t>
  </si>
  <si>
    <t>Experienced devops engineer with 8 years working with adaptability, linux, docker</t>
  </si>
  <si>
    <t>CAND_0994</t>
  </si>
  <si>
    <t>adaptability, indesign, communication, adobe creative suite, photoshop, teamwork, design</t>
  </si>
  <si>
    <t>Experienced graphic designer with 1 years working with adaptability, indesign, communication</t>
  </si>
  <si>
    <t>CAND_0995</t>
  </si>
  <si>
    <t>api, docker, creativity, leadership, problem solving, aws, sql</t>
  </si>
  <si>
    <t>Experienced backend developer with 3 years working with api, docker, creativity</t>
  </si>
  <si>
    <t>CAND_0996</t>
  </si>
  <si>
    <t>adobe creative suite, design, critical thinking, communication</t>
  </si>
  <si>
    <t>Experienced graphic designer with 1 years working with adobe creative suite, design, critical thinking</t>
  </si>
  <si>
    <t>CAND_0997</t>
  </si>
  <si>
    <t>time management, quality assurance, testing, bug tracking</t>
  </si>
  <si>
    <t>Experienced qa engineer with 5 years working with time management, quality assurance, testing</t>
  </si>
  <si>
    <t>CAND_0998</t>
  </si>
  <si>
    <t>critical thinking, time management, creativity, webpack, php, sass</t>
  </si>
  <si>
    <t>CAND_0999</t>
  </si>
  <si>
    <t>linux, adaptability, kubernetes, docker, gitlab ci, grafana, ansible, aws</t>
  </si>
  <si>
    <t>Experienced devops engineer with 10 years working with linux, adaptability, kubernetes</t>
  </si>
  <si>
    <t>Row Labels</t>
  </si>
  <si>
    <t>Grand Total</t>
  </si>
  <si>
    <t>Column Labels</t>
  </si>
  <si>
    <t>Sum of suitable</t>
  </si>
  <si>
    <t>candidate_count</t>
  </si>
  <si>
    <t>suitable_rate</t>
  </si>
  <si>
    <t>Sum of candidate_count</t>
  </si>
  <si>
    <t>Total Sum of candidate_count</t>
  </si>
  <si>
    <t>Total Average of suitable_rate</t>
  </si>
  <si>
    <t>Average of suitable_rate</t>
  </si>
  <si>
    <t>Average of years_experience</t>
  </si>
  <si>
    <t>BÁO CÁO PHÂN BỐ ỨNG TUYỂN NHÂN SỰ CHO CÔNG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</si>
</sst>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25"/>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18"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3"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[sample_candidates_enhanced.xlsx]Sheet3!PivotTable31</c:name>
    <c:fmtId val="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Sheet3!$H$27:$H$29</c:f>
              <c:strCache>
                <c:ptCount val="1"/>
                <c:pt idx="0">
                  <c:v>associate - Average of suitable_rate</c:v>
                </c:pt>
              </c:strCache>
            </c:strRef>
          </c:tx>
          <c:spPr>
            <a:solidFill>
              <a:schemeClr val="accent1"/>
            </a:solidFill>
            <a:ln>
              <a:noFill/>
            </a:ln>
            <a:effectLst/>
            <a:sp3d/>
          </c:spPr>
          <c:invertIfNegative val="0"/>
          <c:cat>
            <c:strRef>
              <c:f>Sheet3!$G$30:$G$33</c:f>
              <c:strCache>
                <c:ptCount val="3"/>
                <c:pt idx="0">
                  <c:v>devops_engineer</c:v>
                </c:pt>
                <c:pt idx="1">
                  <c:v>fullstack_developer</c:v>
                </c:pt>
                <c:pt idx="2">
                  <c:v>product_manager</c:v>
                </c:pt>
              </c:strCache>
            </c:strRef>
          </c:cat>
          <c:val>
            <c:numRef>
              <c:f>Sheet3!$H$30:$H$33</c:f>
              <c:numCache>
                <c:formatCode>0%</c:formatCode>
                <c:ptCount val="3"/>
                <c:pt idx="0">
                  <c:v>1</c:v>
                </c:pt>
                <c:pt idx="1">
                  <c:v>0.5</c:v>
                </c:pt>
              </c:numCache>
            </c:numRef>
          </c:val>
          <c:extLst>
            <c:ext xmlns:c16="http://schemas.microsoft.com/office/drawing/2014/chart" uri="{C3380CC4-5D6E-409C-BE32-E72D297353CC}">
              <c16:uniqueId val="{00000000-B2AF-C041-A01C-50700586A786}"/>
            </c:ext>
          </c:extLst>
        </c:ser>
        <c:ser>
          <c:idx val="1"/>
          <c:order val="1"/>
          <c:tx>
            <c:strRef>
              <c:f>Sheet3!$I$27:$I$29</c:f>
              <c:strCache>
                <c:ptCount val="1"/>
                <c:pt idx="0">
                  <c:v>associate - Sum of candidate_count</c:v>
                </c:pt>
              </c:strCache>
            </c:strRef>
          </c:tx>
          <c:spPr>
            <a:solidFill>
              <a:schemeClr val="accent2"/>
            </a:solidFill>
            <a:ln>
              <a:noFill/>
            </a:ln>
            <a:effectLst/>
            <a:sp3d/>
          </c:spPr>
          <c:invertIfNegative val="0"/>
          <c:cat>
            <c:strRef>
              <c:f>Sheet3!$G$30:$G$33</c:f>
              <c:strCache>
                <c:ptCount val="3"/>
                <c:pt idx="0">
                  <c:v>devops_engineer</c:v>
                </c:pt>
                <c:pt idx="1">
                  <c:v>fullstack_developer</c:v>
                </c:pt>
                <c:pt idx="2">
                  <c:v>product_manager</c:v>
                </c:pt>
              </c:strCache>
            </c:strRef>
          </c:cat>
          <c:val>
            <c:numRef>
              <c:f>Sheet3!$I$30:$I$33</c:f>
              <c:numCache>
                <c:formatCode>General</c:formatCode>
                <c:ptCount val="3"/>
                <c:pt idx="0">
                  <c:v>4</c:v>
                </c:pt>
                <c:pt idx="1">
                  <c:v>8</c:v>
                </c:pt>
              </c:numCache>
            </c:numRef>
          </c:val>
          <c:extLst>
            <c:ext xmlns:c16="http://schemas.microsoft.com/office/drawing/2014/chart" uri="{C3380CC4-5D6E-409C-BE32-E72D297353CC}">
              <c16:uniqueId val="{00000001-B2AF-C041-A01C-50700586A786}"/>
            </c:ext>
          </c:extLst>
        </c:ser>
        <c:ser>
          <c:idx val="2"/>
          <c:order val="2"/>
          <c:tx>
            <c:strRef>
              <c:f>Sheet3!$J$27:$J$29</c:f>
              <c:strCache>
                <c:ptCount val="1"/>
                <c:pt idx="0">
                  <c:v>bachelor - Average of suitable_rate</c:v>
                </c:pt>
              </c:strCache>
            </c:strRef>
          </c:tx>
          <c:spPr>
            <a:solidFill>
              <a:schemeClr val="accent3"/>
            </a:solidFill>
            <a:ln>
              <a:noFill/>
            </a:ln>
            <a:effectLst/>
            <a:sp3d/>
          </c:spPr>
          <c:invertIfNegative val="0"/>
          <c:cat>
            <c:strRef>
              <c:f>Sheet3!$G$30:$G$33</c:f>
              <c:strCache>
                <c:ptCount val="3"/>
                <c:pt idx="0">
                  <c:v>devops_engineer</c:v>
                </c:pt>
                <c:pt idx="1">
                  <c:v>fullstack_developer</c:v>
                </c:pt>
                <c:pt idx="2">
                  <c:v>product_manager</c:v>
                </c:pt>
              </c:strCache>
            </c:strRef>
          </c:cat>
          <c:val>
            <c:numRef>
              <c:f>Sheet3!$J$30:$J$33</c:f>
              <c:numCache>
                <c:formatCode>0%</c:formatCode>
                <c:ptCount val="3"/>
                <c:pt idx="1">
                  <c:v>0.5</c:v>
                </c:pt>
              </c:numCache>
            </c:numRef>
          </c:val>
          <c:extLst>
            <c:ext xmlns:c16="http://schemas.microsoft.com/office/drawing/2014/chart" uri="{C3380CC4-5D6E-409C-BE32-E72D297353CC}">
              <c16:uniqueId val="{00000002-B2AF-C041-A01C-50700586A786}"/>
            </c:ext>
          </c:extLst>
        </c:ser>
        <c:ser>
          <c:idx val="3"/>
          <c:order val="3"/>
          <c:tx>
            <c:strRef>
              <c:f>Sheet3!$K$27:$K$29</c:f>
              <c:strCache>
                <c:ptCount val="1"/>
                <c:pt idx="0">
                  <c:v>bachelor - Sum of candidate_count</c:v>
                </c:pt>
              </c:strCache>
            </c:strRef>
          </c:tx>
          <c:spPr>
            <a:solidFill>
              <a:schemeClr val="accent4"/>
            </a:solidFill>
            <a:ln>
              <a:noFill/>
            </a:ln>
            <a:effectLst/>
            <a:sp3d/>
          </c:spPr>
          <c:invertIfNegative val="0"/>
          <c:cat>
            <c:strRef>
              <c:f>Sheet3!$G$30:$G$33</c:f>
              <c:strCache>
                <c:ptCount val="3"/>
                <c:pt idx="0">
                  <c:v>devops_engineer</c:v>
                </c:pt>
                <c:pt idx="1">
                  <c:v>fullstack_developer</c:v>
                </c:pt>
                <c:pt idx="2">
                  <c:v>product_manager</c:v>
                </c:pt>
              </c:strCache>
            </c:strRef>
          </c:cat>
          <c:val>
            <c:numRef>
              <c:f>Sheet3!$K$30:$K$33</c:f>
              <c:numCache>
                <c:formatCode>General</c:formatCode>
                <c:ptCount val="3"/>
                <c:pt idx="1">
                  <c:v>4</c:v>
                </c:pt>
              </c:numCache>
            </c:numRef>
          </c:val>
          <c:extLst>
            <c:ext xmlns:c16="http://schemas.microsoft.com/office/drawing/2014/chart" uri="{C3380CC4-5D6E-409C-BE32-E72D297353CC}">
              <c16:uniqueId val="{00000003-B2AF-C041-A01C-50700586A786}"/>
            </c:ext>
          </c:extLst>
        </c:ser>
        <c:ser>
          <c:idx val="4"/>
          <c:order val="4"/>
          <c:tx>
            <c:strRef>
              <c:f>Sheet3!$L$27:$L$29</c:f>
              <c:strCache>
                <c:ptCount val="1"/>
                <c:pt idx="0">
                  <c:v>high_school - Average of suitable_rate</c:v>
                </c:pt>
              </c:strCache>
            </c:strRef>
          </c:tx>
          <c:spPr>
            <a:solidFill>
              <a:schemeClr val="accent5"/>
            </a:solidFill>
            <a:ln>
              <a:noFill/>
            </a:ln>
            <a:effectLst/>
            <a:sp3d/>
          </c:spPr>
          <c:invertIfNegative val="0"/>
          <c:cat>
            <c:strRef>
              <c:f>Sheet3!$G$30:$G$33</c:f>
              <c:strCache>
                <c:ptCount val="3"/>
                <c:pt idx="0">
                  <c:v>devops_engineer</c:v>
                </c:pt>
                <c:pt idx="1">
                  <c:v>fullstack_developer</c:v>
                </c:pt>
                <c:pt idx="2">
                  <c:v>product_manager</c:v>
                </c:pt>
              </c:strCache>
            </c:strRef>
          </c:cat>
          <c:val>
            <c:numRef>
              <c:f>Sheet3!$L$30:$L$33</c:f>
              <c:numCache>
                <c:formatCode>0%</c:formatCode>
                <c:ptCount val="3"/>
                <c:pt idx="0">
                  <c:v>1</c:v>
                </c:pt>
                <c:pt idx="2">
                  <c:v>0.25</c:v>
                </c:pt>
              </c:numCache>
            </c:numRef>
          </c:val>
          <c:extLst>
            <c:ext xmlns:c16="http://schemas.microsoft.com/office/drawing/2014/chart" uri="{C3380CC4-5D6E-409C-BE32-E72D297353CC}">
              <c16:uniqueId val="{00000004-B2AF-C041-A01C-50700586A786}"/>
            </c:ext>
          </c:extLst>
        </c:ser>
        <c:ser>
          <c:idx val="5"/>
          <c:order val="5"/>
          <c:tx>
            <c:strRef>
              <c:f>Sheet3!$M$27:$M$29</c:f>
              <c:strCache>
                <c:ptCount val="1"/>
                <c:pt idx="0">
                  <c:v>high_school - Sum of candidate_count</c:v>
                </c:pt>
              </c:strCache>
            </c:strRef>
          </c:tx>
          <c:spPr>
            <a:solidFill>
              <a:schemeClr val="accent6"/>
            </a:solidFill>
            <a:ln>
              <a:noFill/>
            </a:ln>
            <a:effectLst/>
            <a:sp3d/>
          </c:spPr>
          <c:invertIfNegative val="0"/>
          <c:cat>
            <c:strRef>
              <c:f>Sheet3!$G$30:$G$33</c:f>
              <c:strCache>
                <c:ptCount val="3"/>
                <c:pt idx="0">
                  <c:v>devops_engineer</c:v>
                </c:pt>
                <c:pt idx="1">
                  <c:v>fullstack_developer</c:v>
                </c:pt>
                <c:pt idx="2">
                  <c:v>product_manager</c:v>
                </c:pt>
              </c:strCache>
            </c:strRef>
          </c:cat>
          <c:val>
            <c:numRef>
              <c:f>Sheet3!$M$30:$M$33</c:f>
              <c:numCache>
                <c:formatCode>General</c:formatCode>
                <c:ptCount val="3"/>
                <c:pt idx="0">
                  <c:v>4</c:v>
                </c:pt>
                <c:pt idx="2">
                  <c:v>4</c:v>
                </c:pt>
              </c:numCache>
            </c:numRef>
          </c:val>
          <c:extLst>
            <c:ext xmlns:c16="http://schemas.microsoft.com/office/drawing/2014/chart" uri="{C3380CC4-5D6E-409C-BE32-E72D297353CC}">
              <c16:uniqueId val="{00000005-B2AF-C041-A01C-50700586A786}"/>
            </c:ext>
          </c:extLst>
        </c:ser>
        <c:ser>
          <c:idx val="6"/>
          <c:order val="6"/>
          <c:tx>
            <c:strRef>
              <c:f>Sheet3!$N$27:$N$29</c:f>
              <c:strCache>
                <c:ptCount val="1"/>
                <c:pt idx="0">
                  <c:v>master - Average of suitable_rate</c:v>
                </c:pt>
              </c:strCache>
            </c:strRef>
          </c:tx>
          <c:spPr>
            <a:solidFill>
              <a:schemeClr val="accent1">
                <a:lumMod val="60000"/>
              </a:schemeClr>
            </a:solidFill>
            <a:ln>
              <a:noFill/>
            </a:ln>
            <a:effectLst/>
            <a:sp3d/>
          </c:spPr>
          <c:invertIfNegative val="0"/>
          <c:cat>
            <c:strRef>
              <c:f>Sheet3!$G$30:$G$33</c:f>
              <c:strCache>
                <c:ptCount val="3"/>
                <c:pt idx="0">
                  <c:v>devops_engineer</c:v>
                </c:pt>
                <c:pt idx="1">
                  <c:v>fullstack_developer</c:v>
                </c:pt>
                <c:pt idx="2">
                  <c:v>product_manager</c:v>
                </c:pt>
              </c:strCache>
            </c:strRef>
          </c:cat>
          <c:val>
            <c:numRef>
              <c:f>Sheet3!$N$30:$N$33</c:f>
              <c:numCache>
                <c:formatCode>0%</c:formatCode>
                <c:ptCount val="3"/>
                <c:pt idx="2">
                  <c:v>0.25</c:v>
                </c:pt>
              </c:numCache>
            </c:numRef>
          </c:val>
          <c:extLst>
            <c:ext xmlns:c16="http://schemas.microsoft.com/office/drawing/2014/chart" uri="{C3380CC4-5D6E-409C-BE32-E72D297353CC}">
              <c16:uniqueId val="{00000006-B2AF-C041-A01C-50700586A786}"/>
            </c:ext>
          </c:extLst>
        </c:ser>
        <c:ser>
          <c:idx val="7"/>
          <c:order val="7"/>
          <c:tx>
            <c:strRef>
              <c:f>Sheet3!$O$27:$O$29</c:f>
              <c:strCache>
                <c:ptCount val="1"/>
                <c:pt idx="0">
                  <c:v>master - Sum of candidate_count</c:v>
                </c:pt>
              </c:strCache>
            </c:strRef>
          </c:tx>
          <c:spPr>
            <a:solidFill>
              <a:schemeClr val="accent2">
                <a:lumMod val="60000"/>
              </a:schemeClr>
            </a:solidFill>
            <a:ln>
              <a:noFill/>
            </a:ln>
            <a:effectLst/>
            <a:sp3d/>
          </c:spPr>
          <c:invertIfNegative val="0"/>
          <c:cat>
            <c:strRef>
              <c:f>Sheet3!$G$30:$G$33</c:f>
              <c:strCache>
                <c:ptCount val="3"/>
                <c:pt idx="0">
                  <c:v>devops_engineer</c:v>
                </c:pt>
                <c:pt idx="1">
                  <c:v>fullstack_developer</c:v>
                </c:pt>
                <c:pt idx="2">
                  <c:v>product_manager</c:v>
                </c:pt>
              </c:strCache>
            </c:strRef>
          </c:cat>
          <c:val>
            <c:numRef>
              <c:f>Sheet3!$O$30:$O$33</c:f>
              <c:numCache>
                <c:formatCode>General</c:formatCode>
                <c:ptCount val="3"/>
                <c:pt idx="2">
                  <c:v>4</c:v>
                </c:pt>
              </c:numCache>
            </c:numRef>
          </c:val>
          <c:extLst>
            <c:ext xmlns:c16="http://schemas.microsoft.com/office/drawing/2014/chart" uri="{C3380CC4-5D6E-409C-BE32-E72D297353CC}">
              <c16:uniqueId val="{00000007-B2AF-C041-A01C-50700586A786}"/>
            </c:ext>
          </c:extLst>
        </c:ser>
        <c:dLbls>
          <c:showLegendKey val="0"/>
          <c:showVal val="0"/>
          <c:showCatName val="0"/>
          <c:showSerName val="0"/>
          <c:showPercent val="0"/>
          <c:showBubbleSize val="0"/>
        </c:dLbls>
        <c:gapWidth val="150"/>
        <c:shape val="box"/>
        <c:axId val="641747887"/>
        <c:axId val="642224799"/>
        <c:axId val="474283392"/>
      </c:bar3DChart>
      <c:catAx>
        <c:axId val="641747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crossAx val="642224799"/>
        <c:crosses val="autoZero"/>
        <c:auto val="1"/>
        <c:lblAlgn val="ctr"/>
        <c:lblOffset val="100"/>
        <c:noMultiLvlLbl val="0"/>
      </c:catAx>
      <c:valAx>
        <c:axId val="64222479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41747887"/>
        <c:crosses val="autoZero"/>
        <c:crossBetween val="between"/>
      </c:valAx>
      <c:serAx>
        <c:axId val="474283392"/>
        <c:scaling>
          <c:orientation val="minMax"/>
        </c:scaling>
        <c:delete val="1"/>
        <c:axPos val="b"/>
        <c:majorTickMark val="none"/>
        <c:minorTickMark val="none"/>
        <c:tickLblPos val="nextTo"/>
        <c:crossAx val="64222479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[sample_candidates_enhanced.xlsx]Sheet3!PivotTable20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Sum of candidate_count</c:v>
                </c:pt>
              </c:strCache>
            </c:strRef>
          </c:tx>
          <c:spPr>
            <a:solidFill>
              <a:schemeClr val="accent1"/>
            </a:solidFill>
            <a:ln>
              <a:noFill/>
            </a:ln>
            <a:effectLst/>
          </c:spPr>
          <c:invertIfNegative val="0"/>
          <c:cat>
            <c:strRef>
              <c:f>Sheet3!$A$4:$A$7</c:f>
              <c:strCache>
                <c:ptCount val="3"/>
                <c:pt idx="0">
                  <c:v>devops_engineer</c:v>
                </c:pt>
                <c:pt idx="1">
                  <c:v>fullstack_developer</c:v>
                </c:pt>
                <c:pt idx="2">
                  <c:v>product_manager</c:v>
                </c:pt>
              </c:strCache>
            </c:strRef>
          </c:cat>
          <c:val>
            <c:numRef>
              <c:f>Sheet3!$B$4:$B$7</c:f>
              <c:numCache>
                <c:formatCode>General</c:formatCode>
                <c:ptCount val="3"/>
                <c:pt idx="0">
                  <c:v>8</c:v>
                </c:pt>
                <c:pt idx="1">
                  <c:v>12</c:v>
                </c:pt>
                <c:pt idx="2">
                  <c:v>8</c:v>
                </c:pt>
              </c:numCache>
            </c:numRef>
          </c:val>
          <c:extLst>
            <c:ext xmlns:c16="http://schemas.microsoft.com/office/drawing/2014/chart" uri="{C3380CC4-5D6E-409C-BE32-E72D297353CC}">
              <c16:uniqueId val="{00000000-4276-054D-847D-4D682F4B4616}"/>
            </c:ext>
          </c:extLst>
        </c:ser>
        <c:ser>
          <c:idx val="1"/>
          <c:order val="1"/>
          <c:tx>
            <c:strRef>
              <c:f>Sheet3!$C$3</c:f>
              <c:strCache>
                <c:ptCount val="1"/>
                <c:pt idx="0">
                  <c:v>Sum of suitable</c:v>
                </c:pt>
              </c:strCache>
            </c:strRef>
          </c:tx>
          <c:spPr>
            <a:solidFill>
              <a:schemeClr val="accent2"/>
            </a:solidFill>
            <a:ln>
              <a:noFill/>
            </a:ln>
            <a:effectLst/>
          </c:spPr>
          <c:invertIfNegative val="0"/>
          <c:cat>
            <c:strRef>
              <c:f>Sheet3!$A$4:$A$7</c:f>
              <c:strCache>
                <c:ptCount val="3"/>
                <c:pt idx="0">
                  <c:v>devops_engineer</c:v>
                </c:pt>
                <c:pt idx="1">
                  <c:v>fullstack_developer</c:v>
                </c:pt>
                <c:pt idx="2">
                  <c:v>product_manager</c:v>
                </c:pt>
              </c:strCache>
            </c:strRef>
          </c:cat>
          <c:val>
            <c:numRef>
              <c:f>Sheet3!$C$4:$C$7</c:f>
              <c:numCache>
                <c:formatCode>General</c:formatCode>
                <c:ptCount val="3"/>
                <c:pt idx="0">
                  <c:v>2</c:v>
                </c:pt>
                <c:pt idx="1">
                  <c:v>2</c:v>
                </c:pt>
                <c:pt idx="2">
                  <c:v>2</c:v>
                </c:pt>
              </c:numCache>
            </c:numRef>
          </c:val>
          <c:extLst>
            <c:ext xmlns:c16="http://schemas.microsoft.com/office/drawing/2014/chart" uri="{C3380CC4-5D6E-409C-BE32-E72D297353CC}">
              <c16:uniqueId val="{00000001-4276-054D-847D-4D682F4B4616}"/>
            </c:ext>
          </c:extLst>
        </c:ser>
        <c:ser>
          <c:idx val="2"/>
          <c:order val="2"/>
          <c:tx>
            <c:strRef>
              <c:f>Sheet3!$D$3</c:f>
              <c:strCache>
                <c:ptCount val="1"/>
                <c:pt idx="0">
                  <c:v>Average of suitable_rate</c:v>
                </c:pt>
              </c:strCache>
            </c:strRef>
          </c:tx>
          <c:spPr>
            <a:solidFill>
              <a:schemeClr val="accent3"/>
            </a:solidFill>
            <a:ln>
              <a:noFill/>
            </a:ln>
            <a:effectLst/>
          </c:spPr>
          <c:invertIfNegative val="0"/>
          <c:cat>
            <c:strRef>
              <c:f>Sheet3!$A$4:$A$7</c:f>
              <c:strCache>
                <c:ptCount val="3"/>
                <c:pt idx="0">
                  <c:v>devops_engineer</c:v>
                </c:pt>
                <c:pt idx="1">
                  <c:v>fullstack_developer</c:v>
                </c:pt>
                <c:pt idx="2">
                  <c:v>product_manager</c:v>
                </c:pt>
              </c:strCache>
            </c:strRef>
          </c:cat>
          <c:val>
            <c:numRef>
              <c:f>Sheet3!$D$4:$D$7</c:f>
              <c:numCache>
                <c:formatCode>0%</c:formatCode>
                <c:ptCount val="3"/>
                <c:pt idx="0">
                  <c:v>1</c:v>
                </c:pt>
                <c:pt idx="1">
                  <c:v>0.5</c:v>
                </c:pt>
                <c:pt idx="2">
                  <c:v>0.25</c:v>
                </c:pt>
              </c:numCache>
            </c:numRef>
          </c:val>
          <c:extLst>
            <c:ext xmlns:c16="http://schemas.microsoft.com/office/drawing/2014/chart" uri="{C3380CC4-5D6E-409C-BE32-E72D297353CC}">
              <c16:uniqueId val="{00000002-4276-054D-847D-4D682F4B4616}"/>
            </c:ext>
          </c:extLst>
        </c:ser>
        <c:ser>
          <c:idx val="3"/>
          <c:order val="3"/>
          <c:tx>
            <c:strRef>
              <c:f>Sheet3!$E$3</c:f>
              <c:strCache>
                <c:ptCount val="1"/>
                <c:pt idx="0">
                  <c:v>Average of years_experience</c:v>
                </c:pt>
              </c:strCache>
            </c:strRef>
          </c:tx>
          <c:spPr>
            <a:solidFill>
              <a:schemeClr val="accent4"/>
            </a:solidFill>
            <a:ln>
              <a:noFill/>
            </a:ln>
            <a:effectLst/>
          </c:spPr>
          <c:invertIfNegative val="0"/>
          <c:cat>
            <c:strRef>
              <c:f>Sheet3!$A$4:$A$7</c:f>
              <c:strCache>
                <c:ptCount val="3"/>
                <c:pt idx="0">
                  <c:v>devops_engineer</c:v>
                </c:pt>
                <c:pt idx="1">
                  <c:v>fullstack_developer</c:v>
                </c:pt>
                <c:pt idx="2">
                  <c:v>product_manager</c:v>
                </c:pt>
              </c:strCache>
            </c:strRef>
          </c:cat>
          <c:val>
            <c:numRef>
              <c:f>Sheet3!$E$4:$E$7</c:f>
              <c:numCache>
                <c:formatCode>General</c:formatCode>
                <c:ptCount val="3"/>
                <c:pt idx="0">
                  <c:v>12</c:v>
                </c:pt>
                <c:pt idx="1">
                  <c:v>12</c:v>
                </c:pt>
                <c:pt idx="2">
                  <c:v>12</c:v>
                </c:pt>
              </c:numCache>
            </c:numRef>
          </c:val>
          <c:extLst>
            <c:ext xmlns:c16="http://schemas.microsoft.com/office/drawing/2014/chart" uri="{C3380CC4-5D6E-409C-BE32-E72D297353CC}">
              <c16:uniqueId val="{00000003-4276-054D-847D-4D682F4B4616}"/>
            </c:ext>
          </c:extLst>
        </c:ser>
        <c:dLbls>
          <c:showLegendKey val="0"/>
          <c:showVal val="0"/>
          <c:showCatName val="0"/>
          <c:showSerName val="0"/>
          <c:showPercent val="0"/>
          <c:showBubbleSize val="0"/>
        </c:dLbls>
        <c:gapWidth val="150"/>
        <c:axId val="641925967"/>
        <c:axId val="642280815"/>
      </c:barChart>
      <c:catAx>
        <c:axId val="641925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VN"/>
          </a:p>
        </c:txPr>
        <c:crossAx val="642280815"/>
        <c:crosses val="autoZero"/>
        <c:auto val="1"/>
        <c:lblAlgn val="ctr"/>
        <c:lblOffset val="100"/>
        <c:noMultiLvlLbl val="0"/>
      </c:catAx>
      <c:valAx>
        <c:axId val="642280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crossAx val="64192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[sample_candidates_enhanced.xlsx]Sheet4!PivotTable32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candidate_count</c:v>
                </c:pt>
              </c:strCache>
            </c:strRef>
          </c:tx>
          <c:spPr>
            <a:solidFill>
              <a:schemeClr val="accent1"/>
            </a:solidFill>
            <a:ln>
              <a:noFill/>
            </a:ln>
            <a:effectLst/>
          </c:spPr>
          <c:invertIfNegative val="0"/>
          <c:cat>
            <c:strRef>
              <c:f>Sheet4!$A$4:$A$5</c:f>
              <c:strCache>
                <c:ptCount val="1"/>
                <c:pt idx="0">
                  <c:v>12</c:v>
                </c:pt>
              </c:strCache>
            </c:strRef>
          </c:cat>
          <c:val>
            <c:numRef>
              <c:f>Sheet4!$B$4:$B$5</c:f>
              <c:numCache>
                <c:formatCode>General</c:formatCode>
                <c:ptCount val="1"/>
                <c:pt idx="0">
                  <c:v>28</c:v>
                </c:pt>
              </c:numCache>
            </c:numRef>
          </c:val>
          <c:extLst>
            <c:ext xmlns:c16="http://schemas.microsoft.com/office/drawing/2014/chart" uri="{C3380CC4-5D6E-409C-BE32-E72D297353CC}">
              <c16:uniqueId val="{00000000-D855-3040-961E-9F8BCBC1241B}"/>
            </c:ext>
          </c:extLst>
        </c:ser>
        <c:dLbls>
          <c:showLegendKey val="0"/>
          <c:showVal val="0"/>
          <c:showCatName val="0"/>
          <c:showSerName val="0"/>
          <c:showPercent val="0"/>
          <c:showBubbleSize val="0"/>
        </c:dLbls>
        <c:gapWidth val="150"/>
        <c:axId val="83980063"/>
        <c:axId val="254172000"/>
      </c:barChart>
      <c:lineChart>
        <c:grouping val="standard"/>
        <c:varyColors val="0"/>
        <c:ser>
          <c:idx val="1"/>
          <c:order val="1"/>
          <c:tx>
            <c:strRef>
              <c:f>Sheet4!$C$3</c:f>
              <c:strCache>
                <c:ptCount val="1"/>
                <c:pt idx="0">
                  <c:v>Average of suitable_rate</c:v>
                </c:pt>
              </c:strCache>
            </c:strRef>
          </c:tx>
          <c:spPr>
            <a:ln w="28575" cap="rnd">
              <a:solidFill>
                <a:schemeClr val="accent2"/>
              </a:solidFill>
              <a:round/>
            </a:ln>
            <a:effectLst/>
          </c:spPr>
          <c:marker>
            <c:symbol val="none"/>
          </c:marker>
          <c:cat>
            <c:strRef>
              <c:f>Sheet4!$A$4:$A$5</c:f>
              <c:strCache>
                <c:ptCount val="1"/>
                <c:pt idx="0">
                  <c:v>12</c:v>
                </c:pt>
              </c:strCache>
            </c:strRef>
          </c:cat>
          <c:val>
            <c:numRef>
              <c:f>Sheet4!$C$4:$C$5</c:f>
              <c:numCache>
                <c:formatCode>0%</c:formatCode>
                <c:ptCount val="1"/>
                <c:pt idx="0">
                  <c:v>0.5714285714285714</c:v>
                </c:pt>
              </c:numCache>
            </c:numRef>
          </c:val>
          <c:smooth val="0"/>
          <c:extLst>
            <c:ext xmlns:c16="http://schemas.microsoft.com/office/drawing/2014/chart" uri="{C3380CC4-5D6E-409C-BE32-E72D297353CC}">
              <c16:uniqueId val="{00000001-D855-3040-961E-9F8BCBC1241B}"/>
            </c:ext>
          </c:extLst>
        </c:ser>
        <c:dLbls>
          <c:showLegendKey val="0"/>
          <c:showVal val="0"/>
          <c:showCatName val="0"/>
          <c:showSerName val="0"/>
          <c:showPercent val="0"/>
          <c:showBubbleSize val="0"/>
        </c:dLbls>
        <c:marker val="1"/>
        <c:smooth val="0"/>
        <c:axId val="641991215"/>
        <c:axId val="642221247"/>
      </c:lineChart>
      <c:catAx>
        <c:axId val="8398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54172000"/>
        <c:crosses val="autoZero"/>
        <c:auto val="1"/>
        <c:lblAlgn val="ctr"/>
        <c:lblOffset val="100"/>
        <c:noMultiLvlLbl val="0"/>
      </c:catAx>
      <c:valAx>
        <c:axId val="25417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crossAx val="83980063"/>
        <c:crosses val="autoZero"/>
        <c:crossBetween val="between"/>
      </c:valAx>
      <c:valAx>
        <c:axId val="642221247"/>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crossAx val="641991215"/>
        <c:crosses val="max"/>
        <c:crossBetween val="between"/>
      </c:valAx>
      <c:catAx>
        <c:axId val="641991215"/>
        <c:scaling>
          <c:orientation val="minMax"/>
        </c:scaling>
        <c:delete val="1"/>
        <c:axPos val="b"/>
        <c:numFmt formatCode="General" sourceLinked="1"/>
        <c:majorTickMark val="none"/>
        <c:minorTickMark val="none"/>
        <c:tickLblPos val="nextTo"/>
        <c:crossAx val="64222124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[sample_candidates_enhanced.xlsx]Sheet3!PivotTable34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Sheet3!$B$29</c:f>
              <c:strCache>
                <c:ptCount val="1"/>
                <c:pt idx="0">
                  <c:v>Average of years_experience</c:v>
                </c:pt>
              </c:strCache>
            </c:strRef>
          </c:tx>
          <c:spPr>
            <a:solidFill>
              <a:schemeClr val="accent1"/>
            </a:solidFill>
            <a:ln>
              <a:noFill/>
            </a:ln>
            <a:effectLst/>
          </c:spPr>
          <c:invertIfNegative val="0"/>
          <c:cat>
            <c:strRef>
              <c:f>Sheet3!$A$30:$A$34</c:f>
              <c:strCache>
                <c:ptCount val="4"/>
                <c:pt idx="0">
                  <c:v>associate</c:v>
                </c:pt>
                <c:pt idx="1">
                  <c:v>bachelor</c:v>
                </c:pt>
                <c:pt idx="2">
                  <c:v>high_school</c:v>
                </c:pt>
                <c:pt idx="3">
                  <c:v>master</c:v>
                </c:pt>
              </c:strCache>
            </c:strRef>
          </c:cat>
          <c:val>
            <c:numRef>
              <c:f>Sheet3!$B$30:$B$34</c:f>
              <c:numCache>
                <c:formatCode>General</c:formatCode>
                <c:ptCount val="4"/>
                <c:pt idx="0">
                  <c:v>12</c:v>
                </c:pt>
                <c:pt idx="1">
                  <c:v>12</c:v>
                </c:pt>
                <c:pt idx="2">
                  <c:v>12</c:v>
                </c:pt>
                <c:pt idx="3">
                  <c:v>12</c:v>
                </c:pt>
              </c:numCache>
            </c:numRef>
          </c:val>
          <c:extLst>
            <c:ext xmlns:c16="http://schemas.microsoft.com/office/drawing/2014/chart" uri="{C3380CC4-5D6E-409C-BE32-E72D297353CC}">
              <c16:uniqueId val="{00000000-9560-C042-82BA-48D4393D4CBA}"/>
            </c:ext>
          </c:extLst>
        </c:ser>
        <c:ser>
          <c:idx val="1"/>
          <c:order val="1"/>
          <c:tx>
            <c:strRef>
              <c:f>Sheet3!$C$29</c:f>
              <c:strCache>
                <c:ptCount val="1"/>
                <c:pt idx="0">
                  <c:v>Average of suitable_rate</c:v>
                </c:pt>
              </c:strCache>
            </c:strRef>
          </c:tx>
          <c:spPr>
            <a:solidFill>
              <a:schemeClr val="accent2"/>
            </a:solidFill>
            <a:ln>
              <a:noFill/>
            </a:ln>
            <a:effectLst/>
          </c:spPr>
          <c:invertIfNegative val="0"/>
          <c:cat>
            <c:strRef>
              <c:f>Sheet3!$A$30:$A$34</c:f>
              <c:strCache>
                <c:ptCount val="4"/>
                <c:pt idx="0">
                  <c:v>associate</c:v>
                </c:pt>
                <c:pt idx="1">
                  <c:v>bachelor</c:v>
                </c:pt>
                <c:pt idx="2">
                  <c:v>high_school</c:v>
                </c:pt>
                <c:pt idx="3">
                  <c:v>master</c:v>
                </c:pt>
              </c:strCache>
            </c:strRef>
          </c:cat>
          <c:val>
            <c:numRef>
              <c:f>Sheet3!$C$30:$C$34</c:f>
              <c:numCache>
                <c:formatCode>0%</c:formatCode>
                <c:ptCount val="4"/>
                <c:pt idx="0">
                  <c:v>0.66666666666666663</c:v>
                </c:pt>
                <c:pt idx="1">
                  <c:v>0.5</c:v>
                </c:pt>
                <c:pt idx="2">
                  <c:v>0.625</c:v>
                </c:pt>
                <c:pt idx="3">
                  <c:v>0.25</c:v>
                </c:pt>
              </c:numCache>
            </c:numRef>
          </c:val>
          <c:extLst>
            <c:ext xmlns:c16="http://schemas.microsoft.com/office/drawing/2014/chart" uri="{C3380CC4-5D6E-409C-BE32-E72D297353CC}">
              <c16:uniqueId val="{00000001-9560-C042-82BA-48D4393D4CBA}"/>
            </c:ext>
          </c:extLst>
        </c:ser>
        <c:ser>
          <c:idx val="2"/>
          <c:order val="2"/>
          <c:tx>
            <c:strRef>
              <c:f>Sheet3!$D$29</c:f>
              <c:strCache>
                <c:ptCount val="1"/>
                <c:pt idx="0">
                  <c:v>Sum of suitable</c:v>
                </c:pt>
              </c:strCache>
            </c:strRef>
          </c:tx>
          <c:spPr>
            <a:solidFill>
              <a:schemeClr val="accent3"/>
            </a:solidFill>
            <a:ln>
              <a:noFill/>
            </a:ln>
            <a:effectLst/>
          </c:spPr>
          <c:invertIfNegative val="0"/>
          <c:cat>
            <c:strRef>
              <c:f>Sheet3!$A$30:$A$34</c:f>
              <c:strCache>
                <c:ptCount val="4"/>
                <c:pt idx="0">
                  <c:v>associate</c:v>
                </c:pt>
                <c:pt idx="1">
                  <c:v>bachelor</c:v>
                </c:pt>
                <c:pt idx="2">
                  <c:v>high_school</c:v>
                </c:pt>
                <c:pt idx="3">
                  <c:v>master</c:v>
                </c:pt>
              </c:strCache>
            </c:strRef>
          </c:cat>
          <c:val>
            <c:numRef>
              <c:f>Sheet3!$D$30:$D$34</c:f>
              <c:numCache>
                <c:formatCode>General</c:formatCode>
                <c:ptCount val="4"/>
                <c:pt idx="0">
                  <c:v>2</c:v>
                </c:pt>
                <c:pt idx="1">
                  <c:v>1</c:v>
                </c:pt>
                <c:pt idx="2">
                  <c:v>2</c:v>
                </c:pt>
                <c:pt idx="3">
                  <c:v>1</c:v>
                </c:pt>
              </c:numCache>
            </c:numRef>
          </c:val>
          <c:extLst>
            <c:ext xmlns:c16="http://schemas.microsoft.com/office/drawing/2014/chart" uri="{C3380CC4-5D6E-409C-BE32-E72D297353CC}">
              <c16:uniqueId val="{00000002-9560-C042-82BA-48D4393D4CBA}"/>
            </c:ext>
          </c:extLst>
        </c:ser>
        <c:ser>
          <c:idx val="3"/>
          <c:order val="3"/>
          <c:tx>
            <c:strRef>
              <c:f>Sheet3!$E$29</c:f>
              <c:strCache>
                <c:ptCount val="1"/>
                <c:pt idx="0">
                  <c:v>Sum of candidate_count</c:v>
                </c:pt>
              </c:strCache>
            </c:strRef>
          </c:tx>
          <c:spPr>
            <a:solidFill>
              <a:schemeClr val="accent4"/>
            </a:solidFill>
            <a:ln>
              <a:noFill/>
            </a:ln>
            <a:effectLst/>
          </c:spPr>
          <c:invertIfNegative val="0"/>
          <c:cat>
            <c:strRef>
              <c:f>Sheet3!$A$30:$A$34</c:f>
              <c:strCache>
                <c:ptCount val="4"/>
                <c:pt idx="0">
                  <c:v>associate</c:v>
                </c:pt>
                <c:pt idx="1">
                  <c:v>bachelor</c:v>
                </c:pt>
                <c:pt idx="2">
                  <c:v>high_school</c:v>
                </c:pt>
                <c:pt idx="3">
                  <c:v>master</c:v>
                </c:pt>
              </c:strCache>
            </c:strRef>
          </c:cat>
          <c:val>
            <c:numRef>
              <c:f>Sheet3!$E$30:$E$34</c:f>
              <c:numCache>
                <c:formatCode>General</c:formatCode>
                <c:ptCount val="4"/>
                <c:pt idx="0">
                  <c:v>12</c:v>
                </c:pt>
                <c:pt idx="1">
                  <c:v>4</c:v>
                </c:pt>
                <c:pt idx="2">
                  <c:v>8</c:v>
                </c:pt>
                <c:pt idx="3">
                  <c:v>4</c:v>
                </c:pt>
              </c:numCache>
            </c:numRef>
          </c:val>
          <c:extLst>
            <c:ext xmlns:c16="http://schemas.microsoft.com/office/drawing/2014/chart" uri="{C3380CC4-5D6E-409C-BE32-E72D297353CC}">
              <c16:uniqueId val="{00000003-9560-C042-82BA-48D4393D4CBA}"/>
            </c:ext>
          </c:extLst>
        </c:ser>
        <c:dLbls>
          <c:showLegendKey val="0"/>
          <c:showVal val="0"/>
          <c:showCatName val="0"/>
          <c:showSerName val="0"/>
          <c:showPercent val="0"/>
          <c:showBubbleSize val="0"/>
        </c:dLbls>
        <c:gapWidth val="182"/>
        <c:axId val="1072925199"/>
        <c:axId val="1073735839"/>
      </c:barChart>
      <c:catAx>
        <c:axId val="107292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crossAx val="1073735839"/>
        <c:crosses val="autoZero"/>
        <c:auto val="1"/>
        <c:lblAlgn val="ctr"/>
        <c:lblOffset val="100"/>
        <c:noMultiLvlLbl val="0"/>
      </c:catAx>
      <c:valAx>
        <c:axId val="1073735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crossAx val="107292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[sample_candidates_enhanced.xlsx]Sheet3!PivotTable31</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Sheet3!$H$27:$H$29</c:f>
              <c:strCache>
                <c:ptCount val="1"/>
                <c:pt idx="0">
                  <c:v>associate - Average of suitable_rate</c:v>
                </c:pt>
              </c:strCache>
            </c:strRef>
          </c:tx>
          <c:spPr>
            <a:solidFill>
              <a:schemeClr val="accent1"/>
            </a:solidFill>
            <a:ln>
              <a:noFill/>
            </a:ln>
            <a:effectLst/>
            <a:sp3d/>
          </c:spPr>
          <c:invertIfNegative val="0"/>
          <c:cat>
            <c:strRef>
              <c:f>Sheet3!$G$30:$G$33</c:f>
              <c:strCache>
                <c:ptCount val="3"/>
                <c:pt idx="0">
                  <c:v>devops_engineer</c:v>
                </c:pt>
                <c:pt idx="1">
                  <c:v>fullstack_developer</c:v>
                </c:pt>
                <c:pt idx="2">
                  <c:v>product_manager</c:v>
                </c:pt>
              </c:strCache>
            </c:strRef>
          </c:cat>
          <c:val>
            <c:numRef>
              <c:f>Sheet3!$H$30:$H$33</c:f>
              <c:numCache>
                <c:formatCode>0%</c:formatCode>
                <c:ptCount val="3"/>
                <c:pt idx="0">
                  <c:v>1</c:v>
                </c:pt>
                <c:pt idx="1">
                  <c:v>0.5</c:v>
                </c:pt>
              </c:numCache>
            </c:numRef>
          </c:val>
          <c:extLst>
            <c:ext xmlns:c16="http://schemas.microsoft.com/office/drawing/2014/chart" uri="{C3380CC4-5D6E-409C-BE32-E72D297353CC}">
              <c16:uniqueId val="{0000000B-8B67-F744-8A39-BC015081F035}"/>
            </c:ext>
          </c:extLst>
        </c:ser>
        <c:ser>
          <c:idx val="1"/>
          <c:order val="1"/>
          <c:tx>
            <c:strRef>
              <c:f>Sheet3!$I$27:$I$29</c:f>
              <c:strCache>
                <c:ptCount val="1"/>
                <c:pt idx="0">
                  <c:v>associate - Sum of candidate_count</c:v>
                </c:pt>
              </c:strCache>
            </c:strRef>
          </c:tx>
          <c:spPr>
            <a:solidFill>
              <a:schemeClr val="accent2"/>
            </a:solidFill>
            <a:ln>
              <a:noFill/>
            </a:ln>
            <a:effectLst/>
            <a:sp3d/>
          </c:spPr>
          <c:invertIfNegative val="0"/>
          <c:cat>
            <c:strRef>
              <c:f>Sheet3!$G$30:$G$33</c:f>
              <c:strCache>
                <c:ptCount val="3"/>
                <c:pt idx="0">
                  <c:v>devops_engineer</c:v>
                </c:pt>
                <c:pt idx="1">
                  <c:v>fullstack_developer</c:v>
                </c:pt>
                <c:pt idx="2">
                  <c:v>product_manager</c:v>
                </c:pt>
              </c:strCache>
            </c:strRef>
          </c:cat>
          <c:val>
            <c:numRef>
              <c:f>Sheet3!$I$30:$I$33</c:f>
              <c:numCache>
                <c:formatCode>General</c:formatCode>
                <c:ptCount val="3"/>
                <c:pt idx="0">
                  <c:v>4</c:v>
                </c:pt>
                <c:pt idx="1">
                  <c:v>8</c:v>
                </c:pt>
              </c:numCache>
            </c:numRef>
          </c:val>
          <c:extLst>
            <c:ext xmlns:c16="http://schemas.microsoft.com/office/drawing/2014/chart" uri="{C3380CC4-5D6E-409C-BE32-E72D297353CC}">
              <c16:uniqueId val="{0000000C-8B67-F744-8A39-BC015081F035}"/>
            </c:ext>
          </c:extLst>
        </c:ser>
        <c:ser>
          <c:idx val="2"/>
          <c:order val="2"/>
          <c:tx>
            <c:strRef>
              <c:f>Sheet3!$J$27:$J$29</c:f>
              <c:strCache>
                <c:ptCount val="1"/>
                <c:pt idx="0">
                  <c:v>bachelor - Average of suitable_rate</c:v>
                </c:pt>
              </c:strCache>
            </c:strRef>
          </c:tx>
          <c:spPr>
            <a:solidFill>
              <a:schemeClr val="accent3"/>
            </a:solidFill>
            <a:ln>
              <a:noFill/>
            </a:ln>
            <a:effectLst/>
            <a:sp3d/>
          </c:spPr>
          <c:invertIfNegative val="0"/>
          <c:cat>
            <c:strRef>
              <c:f>Sheet3!$G$30:$G$33</c:f>
              <c:strCache>
                <c:ptCount val="3"/>
                <c:pt idx="0">
                  <c:v>devops_engineer</c:v>
                </c:pt>
                <c:pt idx="1">
                  <c:v>fullstack_developer</c:v>
                </c:pt>
                <c:pt idx="2">
                  <c:v>product_manager</c:v>
                </c:pt>
              </c:strCache>
            </c:strRef>
          </c:cat>
          <c:val>
            <c:numRef>
              <c:f>Sheet3!$J$30:$J$33</c:f>
              <c:numCache>
                <c:formatCode>0%</c:formatCode>
                <c:ptCount val="3"/>
                <c:pt idx="1">
                  <c:v>0.5</c:v>
                </c:pt>
              </c:numCache>
            </c:numRef>
          </c:val>
          <c:extLst>
            <c:ext xmlns:c16="http://schemas.microsoft.com/office/drawing/2014/chart" uri="{C3380CC4-5D6E-409C-BE32-E72D297353CC}">
              <c16:uniqueId val="{0000000D-8B67-F744-8A39-BC015081F035}"/>
            </c:ext>
          </c:extLst>
        </c:ser>
        <c:ser>
          <c:idx val="3"/>
          <c:order val="3"/>
          <c:tx>
            <c:strRef>
              <c:f>Sheet3!$K$27:$K$29</c:f>
              <c:strCache>
                <c:ptCount val="1"/>
                <c:pt idx="0">
                  <c:v>bachelor - Sum of candidate_count</c:v>
                </c:pt>
              </c:strCache>
            </c:strRef>
          </c:tx>
          <c:spPr>
            <a:solidFill>
              <a:schemeClr val="accent4"/>
            </a:solidFill>
            <a:ln>
              <a:noFill/>
            </a:ln>
            <a:effectLst/>
            <a:sp3d/>
          </c:spPr>
          <c:invertIfNegative val="0"/>
          <c:cat>
            <c:strRef>
              <c:f>Sheet3!$G$30:$G$33</c:f>
              <c:strCache>
                <c:ptCount val="3"/>
                <c:pt idx="0">
                  <c:v>devops_engineer</c:v>
                </c:pt>
                <c:pt idx="1">
                  <c:v>fullstack_developer</c:v>
                </c:pt>
                <c:pt idx="2">
                  <c:v>product_manager</c:v>
                </c:pt>
              </c:strCache>
            </c:strRef>
          </c:cat>
          <c:val>
            <c:numRef>
              <c:f>Sheet3!$K$30:$K$33</c:f>
              <c:numCache>
                <c:formatCode>General</c:formatCode>
                <c:ptCount val="3"/>
                <c:pt idx="1">
                  <c:v>4</c:v>
                </c:pt>
              </c:numCache>
            </c:numRef>
          </c:val>
          <c:extLst>
            <c:ext xmlns:c16="http://schemas.microsoft.com/office/drawing/2014/chart" uri="{C3380CC4-5D6E-409C-BE32-E72D297353CC}">
              <c16:uniqueId val="{0000000E-8B67-F744-8A39-BC015081F035}"/>
            </c:ext>
          </c:extLst>
        </c:ser>
        <c:ser>
          <c:idx val="4"/>
          <c:order val="4"/>
          <c:tx>
            <c:strRef>
              <c:f>Sheet3!$L$27:$L$29</c:f>
              <c:strCache>
                <c:ptCount val="1"/>
                <c:pt idx="0">
                  <c:v>high_school - Average of suitable_rate</c:v>
                </c:pt>
              </c:strCache>
            </c:strRef>
          </c:tx>
          <c:spPr>
            <a:solidFill>
              <a:schemeClr val="accent5"/>
            </a:solidFill>
            <a:ln>
              <a:noFill/>
            </a:ln>
            <a:effectLst/>
            <a:sp3d/>
          </c:spPr>
          <c:invertIfNegative val="0"/>
          <c:cat>
            <c:strRef>
              <c:f>Sheet3!$G$30:$G$33</c:f>
              <c:strCache>
                <c:ptCount val="3"/>
                <c:pt idx="0">
                  <c:v>devops_engineer</c:v>
                </c:pt>
                <c:pt idx="1">
                  <c:v>fullstack_developer</c:v>
                </c:pt>
                <c:pt idx="2">
                  <c:v>product_manager</c:v>
                </c:pt>
              </c:strCache>
            </c:strRef>
          </c:cat>
          <c:val>
            <c:numRef>
              <c:f>Sheet3!$L$30:$L$33</c:f>
              <c:numCache>
                <c:formatCode>0%</c:formatCode>
                <c:ptCount val="3"/>
                <c:pt idx="0">
                  <c:v>1</c:v>
                </c:pt>
                <c:pt idx="2">
                  <c:v>0.25</c:v>
                </c:pt>
              </c:numCache>
            </c:numRef>
          </c:val>
          <c:extLst>
            <c:ext xmlns:c16="http://schemas.microsoft.com/office/drawing/2014/chart" uri="{C3380CC4-5D6E-409C-BE32-E72D297353CC}">
              <c16:uniqueId val="{0000000F-8B67-F744-8A39-BC015081F035}"/>
            </c:ext>
          </c:extLst>
        </c:ser>
        <c:ser>
          <c:idx val="5"/>
          <c:order val="5"/>
          <c:tx>
            <c:strRef>
              <c:f>Sheet3!$M$27:$M$29</c:f>
              <c:strCache>
                <c:ptCount val="1"/>
                <c:pt idx="0">
                  <c:v>high_school - Sum of candidate_count</c:v>
                </c:pt>
              </c:strCache>
            </c:strRef>
          </c:tx>
          <c:spPr>
            <a:solidFill>
              <a:schemeClr val="accent6"/>
            </a:solidFill>
            <a:ln>
              <a:noFill/>
            </a:ln>
            <a:effectLst/>
            <a:sp3d/>
          </c:spPr>
          <c:invertIfNegative val="0"/>
          <c:cat>
            <c:strRef>
              <c:f>Sheet3!$G$30:$G$33</c:f>
              <c:strCache>
                <c:ptCount val="3"/>
                <c:pt idx="0">
                  <c:v>devops_engineer</c:v>
                </c:pt>
                <c:pt idx="1">
                  <c:v>fullstack_developer</c:v>
                </c:pt>
                <c:pt idx="2">
                  <c:v>product_manager</c:v>
                </c:pt>
              </c:strCache>
            </c:strRef>
          </c:cat>
          <c:val>
            <c:numRef>
              <c:f>Sheet3!$M$30:$M$33</c:f>
              <c:numCache>
                <c:formatCode>General</c:formatCode>
                <c:ptCount val="3"/>
                <c:pt idx="0">
                  <c:v>4</c:v>
                </c:pt>
                <c:pt idx="2">
                  <c:v>4</c:v>
                </c:pt>
              </c:numCache>
            </c:numRef>
          </c:val>
          <c:extLst>
            <c:ext xmlns:c16="http://schemas.microsoft.com/office/drawing/2014/chart" uri="{C3380CC4-5D6E-409C-BE32-E72D297353CC}">
              <c16:uniqueId val="{00000010-8B67-F744-8A39-BC015081F035}"/>
            </c:ext>
          </c:extLst>
        </c:ser>
        <c:ser>
          <c:idx val="6"/>
          <c:order val="6"/>
          <c:tx>
            <c:strRef>
              <c:f>Sheet3!$N$27:$N$29</c:f>
              <c:strCache>
                <c:ptCount val="1"/>
                <c:pt idx="0">
                  <c:v>master - Average of suitable_rate</c:v>
                </c:pt>
              </c:strCache>
            </c:strRef>
          </c:tx>
          <c:spPr>
            <a:solidFill>
              <a:schemeClr val="accent1">
                <a:lumMod val="60000"/>
              </a:schemeClr>
            </a:solidFill>
            <a:ln>
              <a:noFill/>
            </a:ln>
            <a:effectLst/>
            <a:sp3d/>
          </c:spPr>
          <c:invertIfNegative val="0"/>
          <c:cat>
            <c:strRef>
              <c:f>Sheet3!$G$30:$G$33</c:f>
              <c:strCache>
                <c:ptCount val="3"/>
                <c:pt idx="0">
                  <c:v>devops_engineer</c:v>
                </c:pt>
                <c:pt idx="1">
                  <c:v>fullstack_developer</c:v>
                </c:pt>
                <c:pt idx="2">
                  <c:v>product_manager</c:v>
                </c:pt>
              </c:strCache>
            </c:strRef>
          </c:cat>
          <c:val>
            <c:numRef>
              <c:f>Sheet3!$N$30:$N$33</c:f>
              <c:numCache>
                <c:formatCode>0%</c:formatCode>
                <c:ptCount val="3"/>
                <c:pt idx="2">
                  <c:v>0.25</c:v>
                </c:pt>
              </c:numCache>
            </c:numRef>
          </c:val>
          <c:extLst>
            <c:ext xmlns:c16="http://schemas.microsoft.com/office/drawing/2014/chart" uri="{C3380CC4-5D6E-409C-BE32-E72D297353CC}">
              <c16:uniqueId val="{00000011-8B67-F744-8A39-BC015081F035}"/>
            </c:ext>
          </c:extLst>
        </c:ser>
        <c:ser>
          <c:idx val="7"/>
          <c:order val="7"/>
          <c:tx>
            <c:strRef>
              <c:f>Sheet3!$O$27:$O$29</c:f>
              <c:strCache>
                <c:ptCount val="1"/>
                <c:pt idx="0">
                  <c:v>master - Sum of candidate_count</c:v>
                </c:pt>
              </c:strCache>
            </c:strRef>
          </c:tx>
          <c:spPr>
            <a:solidFill>
              <a:schemeClr val="accent2">
                <a:lumMod val="60000"/>
              </a:schemeClr>
            </a:solidFill>
            <a:ln>
              <a:noFill/>
            </a:ln>
            <a:effectLst/>
            <a:sp3d/>
          </c:spPr>
          <c:invertIfNegative val="0"/>
          <c:cat>
            <c:strRef>
              <c:f>Sheet3!$G$30:$G$33</c:f>
              <c:strCache>
                <c:ptCount val="3"/>
                <c:pt idx="0">
                  <c:v>devops_engineer</c:v>
                </c:pt>
                <c:pt idx="1">
                  <c:v>fullstack_developer</c:v>
                </c:pt>
                <c:pt idx="2">
                  <c:v>product_manager</c:v>
                </c:pt>
              </c:strCache>
            </c:strRef>
          </c:cat>
          <c:val>
            <c:numRef>
              <c:f>Sheet3!$O$30:$O$33</c:f>
              <c:numCache>
                <c:formatCode>General</c:formatCode>
                <c:ptCount val="3"/>
                <c:pt idx="2">
                  <c:v>4</c:v>
                </c:pt>
              </c:numCache>
            </c:numRef>
          </c:val>
          <c:extLst>
            <c:ext xmlns:c16="http://schemas.microsoft.com/office/drawing/2014/chart" uri="{C3380CC4-5D6E-409C-BE32-E72D297353CC}">
              <c16:uniqueId val="{00000012-8B67-F744-8A39-BC015081F035}"/>
            </c:ext>
          </c:extLst>
        </c:ser>
        <c:dLbls>
          <c:showLegendKey val="0"/>
          <c:showVal val="0"/>
          <c:showCatName val="0"/>
          <c:showSerName val="0"/>
          <c:showPercent val="0"/>
          <c:showBubbleSize val="0"/>
        </c:dLbls>
        <c:gapWidth val="150"/>
        <c:shape val="box"/>
        <c:axId val="641747887"/>
        <c:axId val="642224799"/>
        <c:axId val="474283392"/>
      </c:bar3DChart>
      <c:catAx>
        <c:axId val="641747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crossAx val="642224799"/>
        <c:crosses val="autoZero"/>
        <c:auto val="1"/>
        <c:lblAlgn val="ctr"/>
        <c:lblOffset val="100"/>
        <c:noMultiLvlLbl val="0"/>
      </c:catAx>
      <c:valAx>
        <c:axId val="642224799"/>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41747887"/>
        <c:crosses val="autoZero"/>
        <c:crossBetween val="between"/>
      </c:valAx>
      <c:serAx>
        <c:axId val="474283392"/>
        <c:scaling>
          <c:orientation val="minMax"/>
        </c:scaling>
        <c:delete val="1"/>
        <c:axPos val="b"/>
        <c:majorTickMark val="none"/>
        <c:minorTickMark val="none"/>
        <c:tickLblPos val="nextTo"/>
        <c:crossAx val="64222479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[sample_candidates_enhanced.xlsx]Sheet3!PivotTable20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Sum of candidate_count</c:v>
                </c:pt>
              </c:strCache>
            </c:strRef>
          </c:tx>
          <c:spPr>
            <a:solidFill>
              <a:schemeClr val="accent1"/>
            </a:solidFill>
            <a:ln>
              <a:noFill/>
            </a:ln>
            <a:effectLst/>
          </c:spPr>
          <c:invertIfNegative val="0"/>
          <c:cat>
            <c:strRef>
              <c:f>Sheet3!$A$4:$A$7</c:f>
              <c:strCache>
                <c:ptCount val="3"/>
                <c:pt idx="0">
                  <c:v>devops_engineer</c:v>
                </c:pt>
                <c:pt idx="1">
                  <c:v>fullstack_developer</c:v>
                </c:pt>
                <c:pt idx="2">
                  <c:v>product_manager</c:v>
                </c:pt>
              </c:strCache>
            </c:strRef>
          </c:cat>
          <c:val>
            <c:numRef>
              <c:f>Sheet3!$B$4:$B$7</c:f>
              <c:numCache>
                <c:formatCode>General</c:formatCode>
                <c:ptCount val="3"/>
                <c:pt idx="0">
                  <c:v>8</c:v>
                </c:pt>
                <c:pt idx="1">
                  <c:v>12</c:v>
                </c:pt>
                <c:pt idx="2">
                  <c:v>8</c:v>
                </c:pt>
              </c:numCache>
            </c:numRef>
          </c:val>
          <c:extLst>
            <c:ext xmlns:c16="http://schemas.microsoft.com/office/drawing/2014/chart" uri="{C3380CC4-5D6E-409C-BE32-E72D297353CC}">
              <c16:uniqueId val="{00000000-39E6-C94E-BC70-3CAABE50FDD0}"/>
            </c:ext>
          </c:extLst>
        </c:ser>
        <c:ser>
          <c:idx val="1"/>
          <c:order val="1"/>
          <c:tx>
            <c:strRef>
              <c:f>Sheet3!$C$3</c:f>
              <c:strCache>
                <c:ptCount val="1"/>
                <c:pt idx="0">
                  <c:v>Sum of suitable</c:v>
                </c:pt>
              </c:strCache>
            </c:strRef>
          </c:tx>
          <c:spPr>
            <a:solidFill>
              <a:schemeClr val="accent2"/>
            </a:solidFill>
            <a:ln>
              <a:noFill/>
            </a:ln>
            <a:effectLst/>
          </c:spPr>
          <c:invertIfNegative val="0"/>
          <c:cat>
            <c:strRef>
              <c:f>Sheet3!$A$4:$A$7</c:f>
              <c:strCache>
                <c:ptCount val="3"/>
                <c:pt idx="0">
                  <c:v>devops_engineer</c:v>
                </c:pt>
                <c:pt idx="1">
                  <c:v>fullstack_developer</c:v>
                </c:pt>
                <c:pt idx="2">
                  <c:v>product_manager</c:v>
                </c:pt>
              </c:strCache>
            </c:strRef>
          </c:cat>
          <c:val>
            <c:numRef>
              <c:f>Sheet3!$C$4:$C$7</c:f>
              <c:numCache>
                <c:formatCode>General</c:formatCode>
                <c:ptCount val="3"/>
                <c:pt idx="0">
                  <c:v>2</c:v>
                </c:pt>
                <c:pt idx="1">
                  <c:v>2</c:v>
                </c:pt>
                <c:pt idx="2">
                  <c:v>2</c:v>
                </c:pt>
              </c:numCache>
            </c:numRef>
          </c:val>
          <c:extLst>
            <c:ext xmlns:c16="http://schemas.microsoft.com/office/drawing/2014/chart" uri="{C3380CC4-5D6E-409C-BE32-E72D297353CC}">
              <c16:uniqueId val="{00000001-39E6-C94E-BC70-3CAABE50FDD0}"/>
            </c:ext>
          </c:extLst>
        </c:ser>
        <c:ser>
          <c:idx val="2"/>
          <c:order val="2"/>
          <c:tx>
            <c:strRef>
              <c:f>Sheet3!$D$3</c:f>
              <c:strCache>
                <c:ptCount val="1"/>
                <c:pt idx="0">
                  <c:v>Average of suitable_rate</c:v>
                </c:pt>
              </c:strCache>
            </c:strRef>
          </c:tx>
          <c:spPr>
            <a:solidFill>
              <a:schemeClr val="accent3"/>
            </a:solidFill>
            <a:ln>
              <a:noFill/>
            </a:ln>
            <a:effectLst/>
          </c:spPr>
          <c:invertIfNegative val="0"/>
          <c:cat>
            <c:strRef>
              <c:f>Sheet3!$A$4:$A$7</c:f>
              <c:strCache>
                <c:ptCount val="3"/>
                <c:pt idx="0">
                  <c:v>devops_engineer</c:v>
                </c:pt>
                <c:pt idx="1">
                  <c:v>fullstack_developer</c:v>
                </c:pt>
                <c:pt idx="2">
                  <c:v>product_manager</c:v>
                </c:pt>
              </c:strCache>
            </c:strRef>
          </c:cat>
          <c:val>
            <c:numRef>
              <c:f>Sheet3!$D$4:$D$7</c:f>
              <c:numCache>
                <c:formatCode>0%</c:formatCode>
                <c:ptCount val="3"/>
                <c:pt idx="0">
                  <c:v>1</c:v>
                </c:pt>
                <c:pt idx="1">
                  <c:v>0.5</c:v>
                </c:pt>
                <c:pt idx="2">
                  <c:v>0.25</c:v>
                </c:pt>
              </c:numCache>
            </c:numRef>
          </c:val>
          <c:extLst>
            <c:ext xmlns:c16="http://schemas.microsoft.com/office/drawing/2014/chart" uri="{C3380CC4-5D6E-409C-BE32-E72D297353CC}">
              <c16:uniqueId val="{00000002-39E6-C94E-BC70-3CAABE50FDD0}"/>
            </c:ext>
          </c:extLst>
        </c:ser>
        <c:ser>
          <c:idx val="3"/>
          <c:order val="3"/>
          <c:tx>
            <c:strRef>
              <c:f>Sheet3!$E$3</c:f>
              <c:strCache>
                <c:ptCount val="1"/>
                <c:pt idx="0">
                  <c:v>Average of years_experience</c:v>
                </c:pt>
              </c:strCache>
            </c:strRef>
          </c:tx>
          <c:spPr>
            <a:solidFill>
              <a:schemeClr val="accent4"/>
            </a:solidFill>
            <a:ln>
              <a:noFill/>
            </a:ln>
            <a:effectLst/>
          </c:spPr>
          <c:invertIfNegative val="0"/>
          <c:cat>
            <c:strRef>
              <c:f>Sheet3!$A$4:$A$7</c:f>
              <c:strCache>
                <c:ptCount val="3"/>
                <c:pt idx="0">
                  <c:v>devops_engineer</c:v>
                </c:pt>
                <c:pt idx="1">
                  <c:v>fullstack_developer</c:v>
                </c:pt>
                <c:pt idx="2">
                  <c:v>product_manager</c:v>
                </c:pt>
              </c:strCache>
            </c:strRef>
          </c:cat>
          <c:val>
            <c:numRef>
              <c:f>Sheet3!$E$4:$E$7</c:f>
              <c:numCache>
                <c:formatCode>General</c:formatCode>
                <c:ptCount val="3"/>
                <c:pt idx="0">
                  <c:v>12</c:v>
                </c:pt>
                <c:pt idx="1">
                  <c:v>12</c:v>
                </c:pt>
                <c:pt idx="2">
                  <c:v>12</c:v>
                </c:pt>
              </c:numCache>
            </c:numRef>
          </c:val>
          <c:extLst>
            <c:ext xmlns:c16="http://schemas.microsoft.com/office/drawing/2014/chart" uri="{C3380CC4-5D6E-409C-BE32-E72D297353CC}">
              <c16:uniqueId val="{00000003-39E6-C94E-BC70-3CAABE50FDD0}"/>
            </c:ext>
          </c:extLst>
        </c:ser>
        <c:dLbls>
          <c:showLegendKey val="0"/>
          <c:showVal val="0"/>
          <c:showCatName val="0"/>
          <c:showSerName val="0"/>
          <c:showPercent val="0"/>
          <c:showBubbleSize val="0"/>
        </c:dLbls>
        <c:gapWidth val="150"/>
        <c:axId val="641925967"/>
        <c:axId val="642280815"/>
      </c:barChart>
      <c:catAx>
        <c:axId val="641925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VN"/>
          </a:p>
        </c:txPr>
        <c:crossAx val="642280815"/>
        <c:auto val="1"/>
        <c:lblAlgn val="ctr"/>
        <c:lblOffset val="100"/>
        <c:noMultiLvlLbl val="0"/>
      </c:catAx>
      <c:valAx>
        <c:axId val="642280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crossAx val="641925967"/>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[sample_candidates_enhanced.xlsx]Sheet3!PivotTable34</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Sheet3!$B$29</c:f>
              <c:strCache>
                <c:ptCount val="1"/>
                <c:pt idx="0">
                  <c:v>Average of years_experience</c:v>
                </c:pt>
              </c:strCache>
            </c:strRef>
          </c:tx>
          <c:spPr>
            <a:solidFill>
              <a:schemeClr val="accent1"/>
            </a:solidFill>
            <a:ln>
              <a:noFill/>
            </a:ln>
            <a:effectLst/>
          </c:spPr>
          <c:invertIfNegative val="0"/>
          <c:cat>
            <c:strRef>
              <c:f>Sheet3!$A$30:$A$34</c:f>
              <c:strCache>
                <c:ptCount val="4"/>
                <c:pt idx="0">
                  <c:v>associate</c:v>
                </c:pt>
                <c:pt idx="1">
                  <c:v>bachelor</c:v>
                </c:pt>
                <c:pt idx="2">
                  <c:v>high_school</c:v>
                </c:pt>
                <c:pt idx="3">
                  <c:v>master</c:v>
                </c:pt>
              </c:strCache>
            </c:strRef>
          </c:cat>
          <c:val>
            <c:numRef>
              <c:f>Sheet3!$B$30:$B$34</c:f>
              <c:numCache>
                <c:formatCode>General</c:formatCode>
                <c:ptCount val="4"/>
                <c:pt idx="0">
                  <c:v>12</c:v>
                </c:pt>
                <c:pt idx="1">
                  <c:v>12</c:v>
                </c:pt>
                <c:pt idx="2">
                  <c:v>12</c:v>
                </c:pt>
                <c:pt idx="3">
                  <c:v>12</c:v>
                </c:pt>
              </c:numCache>
            </c:numRef>
          </c:val>
          <c:extLst>
            <c:ext xmlns:c16="http://schemas.microsoft.com/office/drawing/2014/chart" uri="{C3380CC4-5D6E-409C-BE32-E72D297353CC}">
              <c16:uniqueId val="{00000000-1D9D-E642-ACF6-537DDEC8C767}"/>
            </c:ext>
          </c:extLst>
        </c:ser>
        <c:ser>
          <c:idx val="1"/>
          <c:order val="1"/>
          <c:tx>
            <c:strRef>
              <c:f>Sheet3!$C$29</c:f>
              <c:strCache>
                <c:ptCount val="1"/>
                <c:pt idx="0">
                  <c:v>Average of suitable_rate</c:v>
                </c:pt>
              </c:strCache>
            </c:strRef>
          </c:tx>
          <c:spPr>
            <a:solidFill>
              <a:schemeClr val="accent2"/>
            </a:solidFill>
            <a:ln>
              <a:noFill/>
            </a:ln>
            <a:effectLst/>
          </c:spPr>
          <c:invertIfNegative val="0"/>
          <c:cat>
            <c:strRef>
              <c:f>Sheet3!$A$30:$A$34</c:f>
              <c:strCache>
                <c:ptCount val="4"/>
                <c:pt idx="0">
                  <c:v>associate</c:v>
                </c:pt>
                <c:pt idx="1">
                  <c:v>bachelor</c:v>
                </c:pt>
                <c:pt idx="2">
                  <c:v>high_school</c:v>
                </c:pt>
                <c:pt idx="3">
                  <c:v>master</c:v>
                </c:pt>
              </c:strCache>
            </c:strRef>
          </c:cat>
          <c:val>
            <c:numRef>
              <c:f>Sheet3!$C$30:$C$34</c:f>
              <c:numCache>
                <c:formatCode>0%</c:formatCode>
                <c:ptCount val="4"/>
                <c:pt idx="0">
                  <c:v>0.66666666666666663</c:v>
                </c:pt>
                <c:pt idx="1">
                  <c:v>0.5</c:v>
                </c:pt>
                <c:pt idx="2">
                  <c:v>0.625</c:v>
                </c:pt>
                <c:pt idx="3">
                  <c:v>0.25</c:v>
                </c:pt>
              </c:numCache>
            </c:numRef>
          </c:val>
          <c:extLst>
            <c:ext xmlns:c16="http://schemas.microsoft.com/office/drawing/2014/chart" uri="{C3380CC4-5D6E-409C-BE32-E72D297353CC}">
              <c16:uniqueId val="{00000001-1D9D-E642-ACF6-537DDEC8C767}"/>
            </c:ext>
          </c:extLst>
        </c:ser>
        <c:ser>
          <c:idx val="2"/>
          <c:order val="2"/>
          <c:tx>
            <c:strRef>
              <c:f>Sheet3!$D$29</c:f>
              <c:strCache>
                <c:ptCount val="1"/>
                <c:pt idx="0">
                  <c:v>Sum of suitable</c:v>
                </c:pt>
              </c:strCache>
            </c:strRef>
          </c:tx>
          <c:spPr>
            <a:solidFill>
              <a:schemeClr val="accent3"/>
            </a:solidFill>
            <a:ln>
              <a:noFill/>
            </a:ln>
            <a:effectLst/>
          </c:spPr>
          <c:invertIfNegative val="0"/>
          <c:cat>
            <c:strRef>
              <c:f>Sheet3!$A$30:$A$34</c:f>
              <c:strCache>
                <c:ptCount val="4"/>
                <c:pt idx="0">
                  <c:v>associate</c:v>
                </c:pt>
                <c:pt idx="1">
                  <c:v>bachelor</c:v>
                </c:pt>
                <c:pt idx="2">
                  <c:v>high_school</c:v>
                </c:pt>
                <c:pt idx="3">
                  <c:v>master</c:v>
                </c:pt>
              </c:strCache>
            </c:strRef>
          </c:cat>
          <c:val>
            <c:numRef>
              <c:f>Sheet3!$D$30:$D$34</c:f>
              <c:numCache>
                <c:formatCode>General</c:formatCode>
                <c:ptCount val="4"/>
                <c:pt idx="0">
                  <c:v>2</c:v>
                </c:pt>
                <c:pt idx="1">
                  <c:v>1</c:v>
                </c:pt>
                <c:pt idx="2">
                  <c:v>2</c:v>
                </c:pt>
                <c:pt idx="3">
                  <c:v>1</c:v>
                </c:pt>
              </c:numCache>
            </c:numRef>
          </c:val>
          <c:extLst>
            <c:ext xmlns:c16="http://schemas.microsoft.com/office/drawing/2014/chart" uri="{C3380CC4-5D6E-409C-BE32-E72D297353CC}">
              <c16:uniqueId val="{00000002-1D9D-E642-ACF6-537DDEC8C767}"/>
            </c:ext>
          </c:extLst>
        </c:ser>
        <c:ser>
          <c:idx val="3"/>
          <c:order val="3"/>
          <c:tx>
            <c:strRef>
              <c:f>Sheet3!$E$29</c:f>
              <c:strCache>
                <c:ptCount val="1"/>
                <c:pt idx="0">
                  <c:v>Sum of candidate_count</c:v>
                </c:pt>
              </c:strCache>
            </c:strRef>
          </c:tx>
          <c:spPr>
            <a:solidFill>
              <a:schemeClr val="accent4"/>
            </a:solidFill>
            <a:ln>
              <a:noFill/>
            </a:ln>
            <a:effectLst/>
          </c:spPr>
          <c:invertIfNegative val="0"/>
          <c:cat>
            <c:strRef>
              <c:f>Sheet3!$A$30:$A$34</c:f>
              <c:strCache>
                <c:ptCount val="4"/>
                <c:pt idx="0">
                  <c:v>associate</c:v>
                </c:pt>
                <c:pt idx="1">
                  <c:v>bachelor</c:v>
                </c:pt>
                <c:pt idx="2">
                  <c:v>high_school</c:v>
                </c:pt>
                <c:pt idx="3">
                  <c:v>master</c:v>
                </c:pt>
              </c:strCache>
            </c:strRef>
          </c:cat>
          <c:val>
            <c:numRef>
              <c:f>Sheet3!$E$30:$E$34</c:f>
              <c:numCache>
                <c:formatCode>General</c:formatCode>
                <c:ptCount val="4"/>
                <c:pt idx="0">
                  <c:v>12</c:v>
                </c:pt>
                <c:pt idx="1">
                  <c:v>4</c:v>
                </c:pt>
                <c:pt idx="2">
                  <c:v>8</c:v>
                </c:pt>
                <c:pt idx="3">
                  <c:v>4</c:v>
                </c:pt>
              </c:numCache>
            </c:numRef>
          </c:val>
          <c:extLst>
            <c:ext xmlns:c16="http://schemas.microsoft.com/office/drawing/2014/chart" uri="{C3380CC4-5D6E-409C-BE32-E72D297353CC}">
              <c16:uniqueId val="{00000003-1D9D-E642-ACF6-537DDEC8C767}"/>
            </c:ext>
          </c:extLst>
        </c:ser>
        <c:dLbls>
          <c:showLegendKey val="0"/>
          <c:showVal val="0"/>
          <c:showCatName val="0"/>
          <c:showSerName val="0"/>
          <c:showPercent val="0"/>
          <c:showBubbleSize val="0"/>
        </c:dLbls>
        <c:gapWidth val="182"/>
        <c:axId val="1072925199"/>
        <c:axId val="1073735839"/>
      </c:barChart>
      <c:catAx>
        <c:axId val="107292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crossAx val="1073735839"/>
        <c:crosses val="autoZero"/>
        <c:auto val="1"/>
        <c:lblAlgn val="ctr"/>
        <c:lblOffset val="100"/>
        <c:noMultiLvlLbl val="0"/>
      </c:catAx>
      <c:valAx>
        <c:axId val="10737358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crossAx val="107292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[sample_candidates_enhanced.xlsx]Sheet4!PivotTable32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candidate_count</c:v>
                </c:pt>
              </c:strCache>
            </c:strRef>
          </c:tx>
          <c:spPr>
            <a:solidFill>
              <a:schemeClr val="accent1"/>
            </a:solidFill>
            <a:ln>
              <a:noFill/>
            </a:ln>
            <a:effectLst/>
          </c:spPr>
          <c:invertIfNegative val="0"/>
          <c:cat>
            <c:strRef>
              <c:f>Sheet4!$A$4:$A$5</c:f>
              <c:strCache>
                <c:ptCount val="1"/>
                <c:pt idx="0">
                  <c:v>12</c:v>
                </c:pt>
              </c:strCache>
            </c:strRef>
          </c:cat>
          <c:val>
            <c:numRef>
              <c:f>Sheet4!$B$4:$B$5</c:f>
              <c:numCache>
                <c:formatCode>General</c:formatCode>
                <c:ptCount val="1"/>
                <c:pt idx="0">
                  <c:v>28</c:v>
                </c:pt>
              </c:numCache>
            </c:numRef>
          </c:val>
          <c:extLst>
            <c:ext xmlns:c16="http://schemas.microsoft.com/office/drawing/2014/chart" uri="{C3380CC4-5D6E-409C-BE32-E72D297353CC}">
              <c16:uniqueId val="{00000000-2BB9-C146-B397-563186A5B7D1}"/>
            </c:ext>
          </c:extLst>
        </c:ser>
        <c:dLbls>
          <c:showLegendKey val="0"/>
          <c:showVal val="0"/>
          <c:showCatName val="0"/>
          <c:showSerName val="0"/>
          <c:showPercent val="0"/>
          <c:showBubbleSize val="0"/>
        </c:dLbls>
        <c:gapWidth val="150"/>
        <c:axId val="83980063"/>
        <c:axId val="254172000"/>
      </c:barChart>
      <c:lineChart>
        <c:grouping val="standard"/>
        <c:varyColors val="0"/>
        <c:ser>
          <c:idx val="1"/>
          <c:order val="1"/>
          <c:tx>
            <c:strRef>
              <c:f>Sheet4!$C$3</c:f>
              <c:strCache>
                <c:ptCount val="1"/>
                <c:pt idx="0">
                  <c:v>Average of suitable_rate</c:v>
                </c:pt>
              </c:strCache>
            </c:strRef>
          </c:tx>
          <c:spPr>
            <a:ln w="28575" cap="rnd">
              <a:solidFill>
                <a:schemeClr val="accent2"/>
              </a:solidFill>
              <a:round/>
            </a:ln>
            <a:effectLst/>
          </c:spPr>
          <c:marker>
            <c:symbol val="none"/>
          </c:marker>
          <c:cat>
            <c:strRef>
              <c:f>Sheet4!$A$4:$A$5</c:f>
              <c:strCache>
                <c:ptCount val="1"/>
                <c:pt idx="0">
                  <c:v>12</c:v>
                </c:pt>
              </c:strCache>
            </c:strRef>
          </c:cat>
          <c:val>
            <c:numRef>
              <c:f>Sheet4!$C$4:$C$5</c:f>
              <c:numCache>
                <c:formatCode>0%</c:formatCode>
                <c:ptCount val="1"/>
                <c:pt idx="0">
                  <c:v>0.5714285714285714</c:v>
                </c:pt>
              </c:numCache>
            </c:numRef>
          </c:val>
          <c:smooth val="0"/>
          <c:extLst>
            <c:ext xmlns:c16="http://schemas.microsoft.com/office/drawing/2014/chart" uri="{C3380CC4-5D6E-409C-BE32-E72D297353CC}">
              <c16:uniqueId val="{00000001-2BB9-C146-B397-563186A5B7D1}"/>
            </c:ext>
          </c:extLst>
        </c:ser>
        <c:dLbls>
          <c:showLegendKey val="0"/>
          <c:showVal val="0"/>
          <c:showCatName val="0"/>
          <c:showSerName val="0"/>
          <c:showPercent val="0"/>
          <c:showBubbleSize val="0"/>
        </c:dLbls>
        <c:marker val="1"/>
        <c:smooth val="0"/>
        <c:axId val="641991215"/>
        <c:axId val="642221247"/>
      </c:lineChart>
      <c:catAx>
        <c:axId val="8398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54172000"/>
        <c:auto val="1"/>
        <c:lblAlgn val="ctr"/>
        <c:lblOffset val="100"/>
        <c:noMultiLvlLbl val="0"/>
      </c:catAx>
      <c:valAx>
        <c:axId val="25417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crossAx val="83980063"/>
        <c:crossBetween val="between"/>
      </c:valAx>
      <c:valAx>
        <c:axId val="642221247"/>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VN"/>
          </a:p>
        </c:txPr>
        <c:crossAx val="641991215"/>
        <c:crosses val="max"/>
        <c:crossBetween val="between"/>
      </c:valAx>
      <c:catAx>
        <c:axId val="641991215"/>
        <c:scaling>
          <c:orientation val="minMax"/>
        </c:scaling>
        <c:delete val="1"/>
        <c:axPos val="b"/>
        <c:numFmt formatCode="General" sourceLinked="1"/>
        <c:majorTickMark val="none"/>
        <c:minorTickMark val="none"/>
        <c:tickLblPos val="nextTo"/>
        <c:crossAx val="642221247"/>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303666</xdr:colOff>
      <xdr:row>3</xdr:row>
      <xdr:rowOff>16967</xdr:rowOff>
    </xdr:from>
    <xdr:to>
      <xdr:col>24</xdr:col>
      <xdr:colOff>0</xdr:colOff>
      <xdr:row>56</xdr:row>
      <xdr:rowOff>38485</xdr:rowOff>
    </xdr:to>
    <xdr:sp macro="" textlink="">
      <xdr:nvSpPr>
        <xdr:cNvPr id="24" name="Rounded Rectangle 23">
          <a:extLst>
            <a:ext uri="{FF2B5EF4-FFF2-40B4-BE49-F238E27FC236}">
              <a16:creationId xmlns:a16="http://schemas.microsoft.com/office/drawing/2014/main" id="{2C620B37-FFD6-2A4C-AF93-F3588672A199}"/>
            </a:ext>
          </a:extLst>
        </xdr:cNvPr>
        <xdr:cNvSpPr/>
      </xdr:nvSpPr>
      <xdr:spPr>
        <a:xfrm>
          <a:off x="303666" y="651967"/>
          <a:ext cx="19554516" cy="11239851"/>
        </a:xfrm>
        <a:prstGeom prst="roundRect">
          <a:avLst/>
        </a:prstGeom>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173181</xdr:colOff>
      <xdr:row>4</xdr:row>
      <xdr:rowOff>93331</xdr:rowOff>
    </xdr:from>
    <xdr:to>
      <xdr:col>22</xdr:col>
      <xdr:colOff>519547</xdr:colOff>
      <xdr:row>24</xdr:row>
      <xdr:rowOff>92364</xdr:rowOff>
    </xdr:to>
    <xdr:sp macro="" textlink="">
      <xdr:nvSpPr>
        <xdr:cNvPr id="23" name="Rounded Rectangle 22">
          <a:extLst>
            <a:ext uri="{FF2B5EF4-FFF2-40B4-BE49-F238E27FC236}">
              <a16:creationId xmlns:a16="http://schemas.microsoft.com/office/drawing/2014/main" id="{6DA9C7CC-68A3-5B43-A4AC-8B1421335A73}"/>
            </a:ext>
          </a:extLst>
        </xdr:cNvPr>
        <xdr:cNvSpPr/>
      </xdr:nvSpPr>
      <xdr:spPr>
        <a:xfrm>
          <a:off x="15894242" y="939998"/>
          <a:ext cx="2828638" cy="423236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153411</xdr:colOff>
      <xdr:row>29</xdr:row>
      <xdr:rowOff>186545</xdr:rowOff>
    </xdr:from>
    <xdr:to>
      <xdr:col>7</xdr:col>
      <xdr:colOff>711200</xdr:colOff>
      <xdr:row>48</xdr:row>
      <xdr:rowOff>151189</xdr:rowOff>
    </xdr:to>
    <xdr:sp macro="" textlink="">
      <xdr:nvSpPr>
        <xdr:cNvPr id="9" name="Rounded Rectangle 8">
          <a:extLst>
            <a:ext uri="{FF2B5EF4-FFF2-40B4-BE49-F238E27FC236}">
              <a16:creationId xmlns:a16="http://schemas.microsoft.com/office/drawing/2014/main" id="{EC6F70D2-1A81-3844-916E-83523F97E2C7}"/>
            </a:ext>
          </a:extLst>
        </xdr:cNvPr>
        <xdr:cNvSpPr/>
      </xdr:nvSpPr>
      <xdr:spPr>
        <a:xfrm>
          <a:off x="983144" y="6079345"/>
          <a:ext cx="5536189" cy="3825444"/>
        </a:xfrm>
        <a:prstGeom prst="roundRect">
          <a:avLst/>
        </a:prstGeom>
        <a:no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5</xdr:row>
      <xdr:rowOff>21525</xdr:rowOff>
    </xdr:from>
    <xdr:to>
      <xdr:col>9</xdr:col>
      <xdr:colOff>813371</xdr:colOff>
      <xdr:row>25</xdr:row>
      <xdr:rowOff>16932</xdr:rowOff>
    </xdr:to>
    <xdr:sp macro="" textlink="">
      <xdr:nvSpPr>
        <xdr:cNvPr id="2" name="Rounded Rectangle 1">
          <a:extLst>
            <a:ext uri="{FF2B5EF4-FFF2-40B4-BE49-F238E27FC236}">
              <a16:creationId xmlns:a16="http://schemas.microsoft.com/office/drawing/2014/main" id="{37302B00-CC20-8841-879C-410D177CEC03}"/>
            </a:ext>
          </a:extLst>
        </xdr:cNvPr>
        <xdr:cNvSpPr/>
      </xdr:nvSpPr>
      <xdr:spPr>
        <a:xfrm>
          <a:off x="1659467" y="1037525"/>
          <a:ext cx="6621504" cy="405940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14597</xdr:colOff>
      <xdr:row>26</xdr:row>
      <xdr:rowOff>172204</xdr:rowOff>
    </xdr:from>
    <xdr:to>
      <xdr:col>11</xdr:col>
      <xdr:colOff>585056</xdr:colOff>
      <xdr:row>53</xdr:row>
      <xdr:rowOff>172203</xdr:rowOff>
    </xdr:to>
    <xdr:sp macro="" textlink="">
      <xdr:nvSpPr>
        <xdr:cNvPr id="3" name="Rounded Rectangle 2">
          <a:extLst>
            <a:ext uri="{FF2B5EF4-FFF2-40B4-BE49-F238E27FC236}">
              <a16:creationId xmlns:a16="http://schemas.microsoft.com/office/drawing/2014/main" id="{19F70AD8-DEDC-B646-A39B-80A4D5449461}"/>
            </a:ext>
          </a:extLst>
        </xdr:cNvPr>
        <xdr:cNvSpPr/>
      </xdr:nvSpPr>
      <xdr:spPr>
        <a:xfrm>
          <a:off x="1669878" y="5366361"/>
          <a:ext cx="8019223" cy="5393932"/>
        </a:xfrm>
        <a:prstGeom prst="roundRect">
          <a:avLst/>
        </a:prstGeom>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16933</xdr:colOff>
      <xdr:row>31</xdr:row>
      <xdr:rowOff>0</xdr:rowOff>
    </xdr:from>
    <xdr:to>
      <xdr:col>18</xdr:col>
      <xdr:colOff>1539</xdr:colOff>
      <xdr:row>50</xdr:row>
      <xdr:rowOff>193040</xdr:rowOff>
    </xdr:to>
    <xdr:sp macro="" textlink="">
      <xdr:nvSpPr>
        <xdr:cNvPr id="5" name="Rounded Rectangle 4">
          <a:extLst>
            <a:ext uri="{FF2B5EF4-FFF2-40B4-BE49-F238E27FC236}">
              <a16:creationId xmlns:a16="http://schemas.microsoft.com/office/drawing/2014/main" id="{5C3E8876-1B0C-F749-A75D-AFC2EEBC4E65}"/>
            </a:ext>
          </a:extLst>
        </xdr:cNvPr>
        <xdr:cNvSpPr/>
      </xdr:nvSpPr>
      <xdr:spPr>
        <a:xfrm>
          <a:off x="9973733" y="5689600"/>
          <a:ext cx="4963006" cy="405384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14270</xdr:colOff>
      <xdr:row>8</xdr:row>
      <xdr:rowOff>968</xdr:rowOff>
    </xdr:from>
    <xdr:to>
      <xdr:col>18</xdr:col>
      <xdr:colOff>0</xdr:colOff>
      <xdr:row>28</xdr:row>
      <xdr:rowOff>0</xdr:rowOff>
    </xdr:to>
    <xdr:sp macro="" textlink="">
      <xdr:nvSpPr>
        <xdr:cNvPr id="6" name="Rounded Rectangle 5">
          <a:extLst>
            <a:ext uri="{FF2B5EF4-FFF2-40B4-BE49-F238E27FC236}">
              <a16:creationId xmlns:a16="http://schemas.microsoft.com/office/drawing/2014/main" id="{3C7ECAA9-7EC6-D240-85D0-05BF04801AFB}"/>
            </a:ext>
          </a:extLst>
        </xdr:cNvPr>
        <xdr:cNvSpPr/>
      </xdr:nvSpPr>
      <xdr:spPr>
        <a:xfrm>
          <a:off x="9141337" y="1016968"/>
          <a:ext cx="5793863" cy="406303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71348</xdr:colOff>
      <xdr:row>29</xdr:row>
      <xdr:rowOff>29195</xdr:rowOff>
    </xdr:from>
    <xdr:to>
      <xdr:col>11</xdr:col>
      <xdr:colOff>299663</xdr:colOff>
      <xdr:row>51</xdr:row>
      <xdr:rowOff>21526</xdr:rowOff>
    </xdr:to>
    <xdr:graphicFrame macro="">
      <xdr:nvGraphicFramePr>
        <xdr:cNvPr id="7" name="Chart 6">
          <a:extLst>
            <a:ext uri="{FF2B5EF4-FFF2-40B4-BE49-F238E27FC236}">
              <a16:creationId xmlns:a16="http://schemas.microsoft.com/office/drawing/2014/main" id="{824C32A2-5843-6044-A1B9-A114613BE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220324</xdr:colOff>
      <xdr:row>11</xdr:row>
      <xdr:rowOff>160786</xdr:rowOff>
    </xdr:from>
    <xdr:to>
      <xdr:col>17</xdr:col>
      <xdr:colOff>575321</xdr:colOff>
      <xdr:row>26</xdr:row>
      <xdr:rowOff>179368</xdr:rowOff>
    </xdr:to>
    <xdr:graphicFrame macro="">
      <xdr:nvGraphicFramePr>
        <xdr:cNvPr id="8" name="Chart 7">
          <a:extLst>
            <a:ext uri="{FF2B5EF4-FFF2-40B4-BE49-F238E27FC236}">
              <a16:creationId xmlns:a16="http://schemas.microsoft.com/office/drawing/2014/main" id="{44D9A465-21E8-1641-8A31-A49020A84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228599</xdr:colOff>
      <xdr:row>8</xdr:row>
      <xdr:rowOff>169334</xdr:rowOff>
    </xdr:from>
    <xdr:to>
      <xdr:col>9</xdr:col>
      <xdr:colOff>593047</xdr:colOff>
      <xdr:row>23</xdr:row>
      <xdr:rowOff>191645</xdr:rowOff>
    </xdr:to>
    <xdr:graphicFrame macro="">
      <xdr:nvGraphicFramePr>
        <xdr:cNvPr id="10" name="Chart 9">
          <a:extLst>
            <a:ext uri="{FF2B5EF4-FFF2-40B4-BE49-F238E27FC236}">
              <a16:creationId xmlns:a16="http://schemas.microsoft.com/office/drawing/2014/main" id="{DCA1E0D8-B5AA-C042-93D1-684CDB8ECA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233680</xdr:colOff>
      <xdr:row>34</xdr:row>
      <xdr:rowOff>185505</xdr:rowOff>
    </xdr:from>
    <xdr:to>
      <xdr:col>17</xdr:col>
      <xdr:colOff>585056</xdr:colOff>
      <xdr:row>48</xdr:row>
      <xdr:rowOff>182880</xdr:rowOff>
    </xdr:to>
    <xdr:graphicFrame macro="">
      <xdr:nvGraphicFramePr>
        <xdr:cNvPr id="11" name="Chart 10">
          <a:extLst>
            <a:ext uri="{FF2B5EF4-FFF2-40B4-BE49-F238E27FC236}">
              <a16:creationId xmlns:a16="http://schemas.microsoft.com/office/drawing/2014/main" id="{1D66DD8B-CCC2-6646-B816-0BBD7706D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355601</xdr:colOff>
      <xdr:row>28</xdr:row>
      <xdr:rowOff>50799</xdr:rowOff>
    </xdr:from>
    <xdr:to>
      <xdr:col>3</xdr:col>
      <xdr:colOff>16934</xdr:colOff>
      <xdr:row>52</xdr:row>
      <xdr:rowOff>135466</xdr:rowOff>
    </xdr:to>
    <xdr:sp macro="" textlink="">
      <xdr:nvSpPr>
        <xdr:cNvPr id="12" name="Rounded Rectangle 11">
          <a:extLst>
            <a:ext uri="{FF2B5EF4-FFF2-40B4-BE49-F238E27FC236}">
              <a16:creationId xmlns:a16="http://schemas.microsoft.com/office/drawing/2014/main" id="{57CDC60D-160A-9789-C8C2-0BF6FC787F7C}"/>
            </a:ext>
          </a:extLst>
        </xdr:cNvPr>
        <xdr:cNvSpPr/>
      </xdr:nvSpPr>
      <xdr:spPr>
        <a:xfrm rot="16200000">
          <a:off x="-220133" y="7975600"/>
          <a:ext cx="4961467" cy="491066"/>
        </a:xfrm>
        <a:prstGeom prst="roundRect">
          <a:avLst/>
        </a:prstGeom>
        <a:solidFill>
          <a:schemeClr val="accent1">
            <a:lumMod val="60000"/>
            <a:lumOff val="4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vert="horz" rtlCol="0" anchor="ctr"/>
        <a:lstStyle/>
        <a:p>
          <a:pPr algn="ctr"/>
          <a:r>
            <a:rPr lang="en-US" sz="1700" b="1">
              <a:solidFill>
                <a:schemeClr val="bg2"/>
              </a:solidFill>
              <a:latin typeface="Times New Roman" panose="02020603050405020304" pitchFamily="18" charset="0"/>
              <a:cs typeface="Times New Roman" panose="02020603050405020304" pitchFamily="18" charset="0"/>
            </a:rPr>
            <a:t>VỊ TRÍ ỨNG TUYỂN VÀ TRÌNH ĐỘ HỌC VẤN</a:t>
          </a:r>
        </a:p>
      </xdr:txBody>
    </xdr:sp>
    <xdr:clientData/>
  </xdr:twoCellAnchor>
  <xdr:twoCellAnchor>
    <xdr:from>
      <xdr:col>12</xdr:col>
      <xdr:colOff>167484</xdr:colOff>
      <xdr:row>32</xdr:row>
      <xdr:rowOff>85378</xdr:rowOff>
    </xdr:from>
    <xdr:to>
      <xdr:col>17</xdr:col>
      <xdr:colOff>693698</xdr:colOff>
      <xdr:row>34</xdr:row>
      <xdr:rowOff>135465</xdr:rowOff>
    </xdr:to>
    <xdr:sp macro="" textlink="">
      <xdr:nvSpPr>
        <xdr:cNvPr id="14" name="Rounded Rectangle 13">
          <a:extLst>
            <a:ext uri="{FF2B5EF4-FFF2-40B4-BE49-F238E27FC236}">
              <a16:creationId xmlns:a16="http://schemas.microsoft.com/office/drawing/2014/main" id="{D24257C5-C179-E140-8829-119D5CCF29FA}"/>
            </a:ext>
          </a:extLst>
        </xdr:cNvPr>
        <xdr:cNvSpPr/>
      </xdr:nvSpPr>
      <xdr:spPr>
        <a:xfrm>
          <a:off x="10028660" y="5965798"/>
          <a:ext cx="4635038" cy="455633"/>
        </a:xfrm>
        <a:prstGeom prst="roundRect">
          <a:avLst/>
        </a:prstGeom>
        <a:solidFill>
          <a:schemeClr val="accent1">
            <a:lumMod val="60000"/>
            <a:lumOff val="4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700" b="1">
              <a:solidFill>
                <a:schemeClr val="bg2"/>
              </a:solidFill>
              <a:latin typeface="Times New Roman" panose="02020603050405020304" pitchFamily="18" charset="0"/>
              <a:cs typeface="Times New Roman" panose="02020603050405020304" pitchFamily="18" charset="0"/>
            </a:rPr>
            <a:t>PHÂN BỔ ỨNG VIÊN DỰA VÀO HỌC VẤN</a:t>
          </a:r>
        </a:p>
      </xdr:txBody>
    </xdr:sp>
    <xdr:clientData/>
  </xdr:twoCellAnchor>
  <xdr:twoCellAnchor>
    <xdr:from>
      <xdr:col>11</xdr:col>
      <xdr:colOff>234505</xdr:colOff>
      <xdr:row>9</xdr:row>
      <xdr:rowOff>24332</xdr:rowOff>
    </xdr:from>
    <xdr:to>
      <xdr:col>17</xdr:col>
      <xdr:colOff>576302</xdr:colOff>
      <xdr:row>11</xdr:row>
      <xdr:rowOff>74419</xdr:rowOff>
    </xdr:to>
    <xdr:sp macro="" textlink="">
      <xdr:nvSpPr>
        <xdr:cNvPr id="15" name="Rounded Rectangle 14">
          <a:extLst>
            <a:ext uri="{FF2B5EF4-FFF2-40B4-BE49-F238E27FC236}">
              <a16:creationId xmlns:a16="http://schemas.microsoft.com/office/drawing/2014/main" id="{574DE31F-3939-F944-A1EC-9EE2CABBFE43}"/>
            </a:ext>
          </a:extLst>
        </xdr:cNvPr>
        <xdr:cNvSpPr/>
      </xdr:nvSpPr>
      <xdr:spPr>
        <a:xfrm>
          <a:off x="9273917" y="1240971"/>
          <a:ext cx="5272385" cy="455633"/>
        </a:xfrm>
        <a:prstGeom prst="roundRect">
          <a:avLst/>
        </a:prstGeom>
        <a:solidFill>
          <a:schemeClr val="accent1">
            <a:lumMod val="60000"/>
            <a:lumOff val="4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700" b="1">
              <a:solidFill>
                <a:schemeClr val="bg2"/>
              </a:solidFill>
              <a:latin typeface="Times New Roman" panose="02020603050405020304" pitchFamily="18" charset="0"/>
              <a:cs typeface="Times New Roman" panose="02020603050405020304" pitchFamily="18" charset="0"/>
            </a:rPr>
            <a:t>PHÂN BỔ ỨNG VIÊN THEO VỊ TRÍ ỨNG TUYỂN</a:t>
          </a:r>
        </a:p>
      </xdr:txBody>
    </xdr:sp>
    <xdr:clientData/>
  </xdr:twoCellAnchor>
  <xdr:twoCellAnchor>
    <xdr:from>
      <xdr:col>2</xdr:col>
      <xdr:colOff>226822</xdr:colOff>
      <xdr:row>6</xdr:row>
      <xdr:rowOff>16648</xdr:rowOff>
    </xdr:from>
    <xdr:to>
      <xdr:col>9</xdr:col>
      <xdr:colOff>576303</xdr:colOff>
      <xdr:row>8</xdr:row>
      <xdr:rowOff>66735</xdr:rowOff>
    </xdr:to>
    <xdr:sp macro="" textlink="">
      <xdr:nvSpPr>
        <xdr:cNvPr id="16" name="Rounded Rectangle 15">
          <a:extLst>
            <a:ext uri="{FF2B5EF4-FFF2-40B4-BE49-F238E27FC236}">
              <a16:creationId xmlns:a16="http://schemas.microsoft.com/office/drawing/2014/main" id="{7A40DA89-F349-5B4C-9FE9-01A64E264AF0}"/>
            </a:ext>
          </a:extLst>
        </xdr:cNvPr>
        <xdr:cNvSpPr/>
      </xdr:nvSpPr>
      <xdr:spPr>
        <a:xfrm>
          <a:off x="1870351" y="1233287"/>
          <a:ext cx="6101834" cy="455633"/>
        </a:xfrm>
        <a:prstGeom prst="roundRect">
          <a:avLst/>
        </a:prstGeom>
        <a:solidFill>
          <a:schemeClr val="accent1">
            <a:lumMod val="60000"/>
            <a:lumOff val="4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700" b="1">
              <a:solidFill>
                <a:schemeClr val="bg2"/>
              </a:solidFill>
              <a:latin typeface="Times New Roman" panose="02020603050405020304" pitchFamily="18" charset="0"/>
              <a:cs typeface="Times New Roman" panose="02020603050405020304" pitchFamily="18" charset="0"/>
            </a:rPr>
            <a:t>TỔNG THỂ ỨNG VIÊN PHÙ HỢP </a:t>
          </a:r>
        </a:p>
      </xdr:txBody>
    </xdr:sp>
    <xdr:clientData/>
  </xdr:twoCellAnchor>
  <xdr:twoCellAnchor editAs="oneCell">
    <xdr:from>
      <xdr:col>19</xdr:col>
      <xdr:colOff>461818</xdr:colOff>
      <xdr:row>5</xdr:row>
      <xdr:rowOff>57729</xdr:rowOff>
    </xdr:from>
    <xdr:to>
      <xdr:col>22</xdr:col>
      <xdr:colOff>242070</xdr:colOff>
      <xdr:row>24</xdr:row>
      <xdr:rowOff>19242</xdr:rowOff>
    </xdr:to>
    <mc:AlternateContent xmlns:mc="http://schemas.openxmlformats.org/markup-compatibility/2006">
      <mc:Choice xmlns:a14="http://schemas.microsoft.com/office/drawing/2010/main" Requires="a14">
        <xdr:graphicFrame macro="">
          <xdr:nvGraphicFramePr>
            <xdr:cNvPr id="21" name="years_experience">
              <a:extLst>
                <a:ext uri="{FF2B5EF4-FFF2-40B4-BE49-F238E27FC236}">
                  <a16:creationId xmlns:a16="http://schemas.microsoft.com/office/drawing/2014/main" id="{6E71C95F-3FE0-9627-E6CB-6A9200EBAAD6}"/>
                </a:ext>
              </a:extLst>
            </xdr:cNvPr>
            <xdr:cNvGraphicFramePr/>
          </xdr:nvGraphicFramePr>
          <xdr:xfrm>
            <a:off x="0" y="0"/>
            <a:ext cx="0" cy="0"/>
          </xdr:xfrm>
          <a:graphic>
            <a:graphicData uri="http://schemas.microsoft.com/office/drawing/2010/slicer">
              <sle:slicer xmlns:sle="http://schemas.microsoft.com/office/drawing/2010/slicer" name="years_experience"/>
            </a:graphicData>
          </a:graphic>
        </xdr:graphicFrame>
      </mc:Choice>
      <mc:Fallback>
        <xdr:sp macro="" textlink="">
          <xdr:nvSpPr>
            <xdr:cNvPr id="0" name=""/>
            <xdr:cNvSpPr>
              <a:spLocks noTextEdit="1"/>
            </xdr:cNvSpPr>
          </xdr:nvSpPr>
          <xdr:spPr>
            <a:xfrm>
              <a:off x="16182879" y="1116062"/>
              <a:ext cx="2262524" cy="3983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15302</xdr:colOff>
      <xdr:row>52</xdr:row>
      <xdr:rowOff>30603</xdr:rowOff>
    </xdr:from>
    <xdr:to>
      <xdr:col>11</xdr:col>
      <xdr:colOff>1574800</xdr:colOff>
      <xdr:row>73</xdr:row>
      <xdr:rowOff>16932</xdr:rowOff>
    </xdr:to>
    <xdr:graphicFrame macro="">
      <xdr:nvGraphicFramePr>
        <xdr:cNvPr id="9" name="Chart 8">
          <a:extLst>
            <a:ext uri="{FF2B5EF4-FFF2-40B4-BE49-F238E27FC236}">
              <a16:creationId xmlns:a16="http://schemas.microsoft.com/office/drawing/2014/main" id="{0F86B71F-6523-81D3-BD23-D4F3CD348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23963</xdr:colOff>
      <xdr:row>6</xdr:row>
      <xdr:rowOff>23962</xdr:rowOff>
    </xdr:from>
    <xdr:to>
      <xdr:col>9</xdr:col>
      <xdr:colOff>23963</xdr:colOff>
      <xdr:row>22</xdr:row>
      <xdr:rowOff>11981</xdr:rowOff>
    </xdr:to>
    <xdr:graphicFrame macro="">
      <xdr:nvGraphicFramePr>
        <xdr:cNvPr id="12" name="Chart 11">
          <a:extLst>
            <a:ext uri="{FF2B5EF4-FFF2-40B4-BE49-F238E27FC236}">
              <a16:creationId xmlns:a16="http://schemas.microsoft.com/office/drawing/2014/main" id="{28E8E938-DA62-F739-E15E-16547596C0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1975022</xdr:colOff>
      <xdr:row>37</xdr:row>
      <xdr:rowOff>3433</xdr:rowOff>
    </xdr:from>
    <xdr:to>
      <xdr:col>4</xdr:col>
      <xdr:colOff>1694249</xdr:colOff>
      <xdr:row>50</xdr:row>
      <xdr:rowOff>66589</xdr:rowOff>
    </xdr:to>
    <xdr:graphicFrame macro="">
      <xdr:nvGraphicFramePr>
        <xdr:cNvPr id="23" name="Chart 22">
          <a:extLst>
            <a:ext uri="{FF2B5EF4-FFF2-40B4-BE49-F238E27FC236}">
              <a16:creationId xmlns:a16="http://schemas.microsoft.com/office/drawing/2014/main" id="{479CC85D-0FCB-78DC-4AAC-AD90988AD8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12700</xdr:colOff>
      <xdr:row>5</xdr:row>
      <xdr:rowOff>0</xdr:rowOff>
    </xdr:from>
    <xdr:to>
      <xdr:col>10</xdr:col>
      <xdr:colOff>812800</xdr:colOff>
      <xdr:row>21</xdr:row>
      <xdr:rowOff>12700</xdr:rowOff>
    </xdr:to>
    <xdr:graphicFrame macro="">
      <xdr:nvGraphicFramePr>
        <xdr:cNvPr id="5" name="Chart 4">
          <a:extLst>
            <a:ext uri="{FF2B5EF4-FFF2-40B4-BE49-F238E27FC236}">
              <a16:creationId xmlns:a16="http://schemas.microsoft.com/office/drawing/2014/main" id="{DEC21FF1-000E-510A-7DDD-BDC1A3A7C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n Tan Phat" refreshedDate="45947.388723148149" createdVersion="8" refreshedVersion="8" minRefreshableVersion="3" recordCount="999" xr:uid="{ADF52DCE-11A3-FB47-8E75-FA618FA83DEF}">
  <cacheSource type="worksheet">
    <worksheetSource name="Table2"/>
  </cacheSource>
  <cacheFields count="9">
    <cacheField name="candidate_id" numFmtId="0">
      <sharedItems/>
    </cacheField>
    <cacheField name="years_experience" numFmtId="0">
      <sharedItems containsSemiMixedTypes="0" containsString="0" containsNumber="1" containsInteger="1" minValue="0" maxValue="12" count="13">
        <n v="2"/>
        <n v="9"/>
        <n v="0"/>
        <n v="8"/>
        <n v="1"/>
        <n v="5"/>
        <n v="3"/>
        <n v="4"/>
        <n v="7"/>
        <n v="12"/>
        <n v="10"/>
        <n v="11"/>
        <n v="6"/>
      </sharedItems>
    </cacheField>
    <cacheField name="education_level" numFmtId="0">
      <sharedItems count="5">
        <s v="bachelor"/>
        <s v="phd"/>
        <s v="master"/>
        <s v="high_school"/>
        <s v="associate"/>
      </sharedItems>
    </cacheField>
    <cacheField name="skills" numFmtId="0">
      <sharedItems count="986">
        <s v="adaptability, communication, problem solving, microservices, aws"/>
        <s v="critical thinking, communication, teamwork, prototyping, html, design"/>
        <s v="adaptability, communication, excel, business intelligence, process modeling, sql"/>
        <s v="python, communication, docker, c#, programming, problem solving, javascript"/>
        <s v="project management, risk management, stakeholder management, teamwork, agile, scrum, pmp"/>
        <s v="numpy, python, critical thinking, statistics, creativity, machine learning, problem solving, sql"/>
        <s v="critical thinking, time management, responsive design, webpack, vue, teamwork, javascript, html, css, figma"/>
        <s v="linux, communication, kubernetes, docker, jenkins, ansible, azure, monitoring"/>
        <s v="indesign, web design, illustrator, typography, time management, photoshop"/>
        <s v="problem solving, git, agile, programming"/>
        <s v="time management, statistics, data visualization, tableau"/>
        <s v="api, communication, docker, leadership, teamwork, sql"/>
        <s v="statistics, data analysis, excel, tableau, leadership, powerbi, reporting"/>
        <s v="leadership, communication, project management"/>
        <s v="critical thinking, adaptability, statistics, spark, machine learning, pytorch, scipy"/>
        <s v="html, communication, time management, typescript, vue, mongodb, php, javascript, css, nodejs"/>
        <s v="problem solving, machine learning, data visualization"/>
        <s v="design, teamwork"/>
        <s v="python, communication, time management, creativity, powerbi"/>
        <s v="teamwork, c++, programming"/>
        <s v="critical thinking, python, pandas, excel, tableau, teamwork, sql"/>
        <s v="critical thinking, python, testing, leadership, c++, agile, javascript"/>
        <s v="teamwork, webpack, typescript"/>
        <s v="critical thinking, responsive design, react, vue, javascript, html, css"/>
        <s v="adaptability, jira, project management, risk management, teamwork, agile"/>
        <s v="adaptability, roadmap planning, creativity, analytics, teamwork, agile"/>
        <s v="critical thinking, ui/ux, adaptability, prototyping, design, sketch"/>
        <s v="critical thinking, adaptability, adobe creative suite, creativity, design"/>
        <s v="angular, teamwork, responsive design"/>
        <s v="creativity, reporting, sql"/>
        <s v="critical thinking, adaptability, problem solving, postgresql, mongodb, javascript, html, css, sql"/>
        <s v="api, java, docker, creativity, c#, problem solving, sql"/>
        <s v="statistics, data analysis, excel, creativity, tableau, leadership, r, sql"/>
        <s v="numpy, python, adaptability, pandas, communication, teamwork, tensorflow, scipy, sql"/>
        <s v="critical thinking, creativity, excel, teamwork, sql"/>
        <s v="project management, creativity, problem solving, teamwork, agile"/>
        <s v="adaptability, jira, time management, leadership, problem solving, scrum"/>
        <s v="adaptability, leadership, teamwork, monitoring, hyper-v"/>
        <s v="creativity, tableau, problem solving, teamwork, process modeling"/>
        <s v="communication, time management, c#, programming, problem solving, c++"/>
        <s v="critical thinking, leadership, problem solving, r, sql"/>
        <s v="linux, docker, ansible, teamwork, azure, terraform"/>
        <s v="adaptability, communication, project management, leadership, scrum"/>
        <s v="critical thinking, ui/ux, time management, problem solving, prototyping, design"/>
        <s v="critical thinking, linux, communication, windows, problem solving"/>
        <s v="python, communication, excel, data visualization, machine learning, r, sql"/>
        <s v="adaptability, react, creativity"/>
        <s v="pandas, time management, excel, problem solving, teamwork, powerbi, sql"/>
        <s v="adaptability, communication, adobe creative suite, teamwork, html, css"/>
        <s v="communication, statistics, excel, data visualization, machine learning, leadership, sql"/>
        <s v="html, adaptability, mongodb, php, javascript, angular, css"/>
        <s v="linux, docker, problem solving, azure, monitoring, prometheus, aws"/>
        <s v="linux, windows, bash, security, networking, teamwork"/>
        <s v="python, time management, data analysis, excel, tableau, problem solving, teamwork, reporting"/>
        <s v="content writing, communication, content strategy, creativity, analytics, leadership, problem solving, video editing"/>
        <s v="communication, teamwork, mongodb, php, angular"/>
        <s v="python, communication, time management, c#, git, agile"/>
        <s v="critical thinking, illustrator, indesign, adobe creative suite, creativity, photoshop, problem solving, design"/>
        <s v="digital marketing, communication, email marketing, sem, time management, teamwork"/>
        <s v="swift, java, time management, creativity, firebase, leadership"/>
        <s v="creativity, react, postgresql, javascript, html, css, aws, sql"/>
        <s v="critical thinking, python, java, time management, programming, agile"/>
        <s v="critical thinking, adaptability, testing, quality assurance, selenium, bug tracking"/>
        <s v="testing, creativity, leadership, teamwork, quality assurance, selenium, security testing, ci/cd, automation testing"/>
        <s v="python, time management, data visualization, tableau, machine learning, leadership, powerbi"/>
        <s v="problem solving, typescript"/>
        <s v="critical thinking, time management, excel, problem solving, powerbi, r, process modeling, sql"/>
        <s v="mobile, time management, app store"/>
        <s v="ui/ux, problem solving, prototyping, wireframing, design, figma"/>
        <s v="digital marketing, communication"/>
        <s v="adaptability, react, vue, javascript, html, css, figma"/>
        <s v="time management, monitoring, leadership, creativity"/>
        <s v="creativity, technical skills"/>
        <s v="graphic design, content writing, communication"/>
        <s v="communication, testing, creativity, leadership, agile"/>
        <s v="adaptability, time management, a/b testing"/>
        <s v="problem solving, leadership"/>
        <s v="creativity, excel, business intelligence, sql"/>
        <s v="adaptability, communication, responsive design, react, webpack, vue, teamwork, javascript, html, css, figma"/>
        <s v="linux, docker, time management, ansible, leadership"/>
        <s v="communication, user research, analytics, teamwork, product management, wireframing"/>
        <s v="python, pandas, statistics, excel, data visualization, problem solving, leadership, sql"/>
        <s v="critical thinking, teamwork, javascript, html, css, sass"/>
        <s v="critical thinking, react native, communication, google play, kotlin, problem solving, app store"/>
        <s v="creativity"/>
        <s v="critical thinking, adaptability, agile, project management"/>
        <s v="statistics, communication"/>
        <s v="time management, creativity, excel, machine learning, sql"/>
        <s v="critical thinking, content writing, communication, content strategy, creativity, problem solving, wordpress, social media"/>
        <s v="critical thinking, communication, project management, stakeholder management, leadership, agile, confluence"/>
        <s v="digital marketing, seo, time management, creativity, analytics, facebook ads, problem solving, social media"/>
        <s v="problem solving, ci/cd, api testing"/>
        <s v="critical thinking, time management, git, programming"/>
        <s v="communication, creativity, security, powershell, vmware"/>
        <s v="adaptability, communication, requirements analysis, tableau, teamwork, powerbi"/>
        <s v="python, adaptability, time management, tableau, teamwork"/>
        <s v="problem solving, css"/>
        <s v="r, communication, data visualization"/>
        <s v="critical thinking, pandas, statistics, excel, data visualization, teamwork, sql"/>
        <s v="communication, time management, statistics, data visualization, tableau, machine learning, problem solving, r"/>
        <s v="critical thinking"/>
        <s v="creativity, performance testing"/>
        <s v="communication, security, networking, problem solving, teamwork, vmware"/>
        <s v="critical thinking, adaptability, git, programming"/>
        <s v="time management, webpack"/>
        <s v="python, adaptability, kubernetes, creativity, problem solving, azure"/>
        <s v="communication, time management, problem solving, prototyping, design"/>
        <s v="critical thinking, communication, excel, leadership, sql"/>
        <s v="print design, adaptability, leadership, typography"/>
        <s v="seo, communication, creativity, leadership, social media"/>
        <s v="problem solving, product management, communication, roadmap planning"/>
        <s v="critical thinking, adaptability, mobile, creativity, firebase, kotlin"/>
        <s v="critical thinking, leadership, creativity, performance testing"/>
        <s v="critical thinking, communication, data visualization, machine learning, r"/>
        <s v="digital marketing, adaptability, email marketing, teamwork, social media"/>
        <s v="adaptability, api, problem solving, php, nodejs, sql"/>
        <s v="communication, copywriting, content strategy, problem solving, teamwork, wordpress, social media"/>
        <s v="problem solving, leadership, prototyping"/>
        <s v="python, communication, statistics, excel, tableau, machine learning, problem solving, teamwork, sql"/>
        <s v="seo, adaptability, leadership, teamwork, video editing"/>
        <s v="teamwork"/>
        <s v="mobile, creativity, communication"/>
        <s v="teamwork, time management, linux, windows"/>
        <s v="swift, java, mobile, creativity, flutter"/>
        <s v="communication, excel, leadership, agile, sql"/>
        <s v="communication"/>
        <s v="communication, kubernetes, creativity, jenkins, teamwork, terraform, prometheus, aws"/>
        <s v="teamwork, webpack, sass, communication"/>
        <s v="critical thinking, creativity, javascript, html, css, sql"/>
        <s v="digital marketing, seo, sem, creativity, social media, content marketing"/>
        <s v="communication, technical skills, analytics, teamwork, product management, agile"/>
        <s v="critical thinking, docker, time management, react, teamwork"/>
        <s v="photoshop, time management, illustrator"/>
        <s v="critical thinking, python, time management, creativity, javascript, html, css, sql"/>
        <s v="digital marketing, problem solving, content marketing"/>
        <s v="communication, security, networking, problem solving, powershell, active directory"/>
        <s v="adaptability, communication, react, javascript, html, angular, css, nodejs"/>
        <s v="critical thinking, google ads"/>
        <s v="content writing, communication, time management, creativity, problem solving, wordpress, social media, video editing"/>
        <s v="api testing, leadership, teamwork, selenium, ci/cd, bug tracking"/>
        <s v="linux, docker, creativity, ansible, teamwork, terraform"/>
        <s v="ui/ux, adobe creative suite, problem solving, teamwork, prototyping, design"/>
        <s v="linux, adaptability, communication, windows, bash, vmware, networking, powershell, monitoring"/>
        <s v="digital marketing, seo, email marketing, time management, analytics, social media"/>
        <s v="problem solving"/>
        <s v="communication, creativity, typescript, vue, sass"/>
        <s v="critical thinking, communication, analytics, teamwork, product management, agile, sql"/>
        <s v="communication, technical skills, time management, leadership, sql"/>
        <s v="communication, adobe creative suite, problem solving, prototyping, wireframing, sketch, css"/>
        <s v="sem, critical thinking, facebook ads, communication"/>
        <s v="leadership, adaptability, react"/>
        <s v="python, excel, leadership, sql"/>
        <s v="adaptability, performance testing, leadership, security testing, automation testing, bug tracking"/>
        <s v="r, adaptability, excel, sql"/>
        <s v="time management, excel, machine learning, powerbi, sql"/>
        <s v="python, requirements analysis, excel, problem solving, teamwork, leadership, powerbi, r, sql"/>
        <s v="adaptability, mobile, creativity, kotlin, problem solving, flutter, app store"/>
        <s v="react native, java, google play, teamwork, flutter"/>
        <s v="critical thinking, swift, java, time management, firebase, flutter, app store"/>
        <s v="python, adaptability, java, docker, time management"/>
        <s v="api, docker, teamwork, nodejs, sql"/>
        <s v="microservices, teamwork"/>
        <s v="communication, problem solving, teamwork, microservices, nodejs"/>
        <s v="numpy, critical thinking, communication, statistics, problem solving, tensorflow, scipy"/>
        <s v="time management, mongodb, javascript, html, css, postgresql"/>
        <s v="adaptability, time management, analytics, facebook ads, problem solving, google ads"/>
        <s v="adaptability, excel, agile, r, sql"/>
        <s v="react native, mobile, firebase, kotlin, leadership, teamwork, push notifications, flutter"/>
        <s v="critical thinking, docker, time management, teamwork, javascript, html, css, sql"/>
        <s v="adaptability, communication, vue, leadership, javascript, html, angular, css, figma"/>
        <s v="critical thinking, linux, docker, problem solving, leadership"/>
        <s v="indesign, communication, adobe creative suite, branding, photoshop, design"/>
        <s v="illustrator, indesign, adobe creative suite, color theory, creativity, branding, print design, design"/>
        <s v="time management, user research, communication, roadmap planning"/>
        <s v="leadership, creativity, illustrator, indesign"/>
        <s v="communication, creativity, teamwork, javascript, html, css"/>
        <s v="python, java, time management, c#, agile, ci/cd"/>
        <s v="critical thinking, kubernetes, ansible, teamwork, monitoring, aws"/>
        <s v="hadoop, teamwork, communication, pytorch"/>
        <s v="photoshop, critical thinking, indesign, leadership"/>
        <s v="creativity, excel, powerbi, r, sql"/>
        <s v="communication, technical skills, roadmap planning, analytics, teamwork, product management, agile"/>
        <s v="critical thinking, time management, java, programming"/>
        <s v="creativity, firebase, leadership, teamwork, app store"/>
        <s v="python, adaptability, problem solving, teamwork, sql"/>
        <s v="critical thinking, ui/ux, adobe creative suite, user research, teamwork, html, design, sketch"/>
        <s v="creativity, quality assurance, performance testing, testing"/>
        <s v="problem solving, python, adaptability"/>
        <s v="problem solving, api, c#, sql"/>
        <s v="teamwork, time management, adaptability, project management"/>
        <s v="python, testing, java, programming, teamwork, agile, sql"/>
        <s v="react native, swift, java, mobile, creativity, teamwork"/>
        <s v="critical thinking, creativity, leadership, prototyping, sketch"/>
        <s v="content writing, communication, time management, creativity, problem solving, wordpress"/>
        <s v="adaptability, api, communication, creativity, go, sql"/>
        <s v="leadership, communication, confluence"/>
        <s v="python, pandas, creativity, tableau, machine learning, leadership, teamwork, powerbi"/>
        <s v="ui/ux, adobe creative suite, time management, teamwork, html, design, sketch, css, figma"/>
        <s v="leadership, agile, tableau"/>
        <s v="critical thinking, problem solving, excel, sql"/>
        <s v="leadership, programming"/>
        <s v="critical thinking, communication, statistics, data analysis, excel, tableau, powerbi, sql"/>
        <s v="adaptability, indesign, web design, typography, adobe creative suite, leadership, teamwork, design"/>
        <s v="vue, time management, webpack, mongodb"/>
        <s v="webpack, react, typescript, vue, leadership, teamwork, problem solving, javascript, html, css"/>
        <s v="communication, testing, api testing, problem solving, teamwork, manual testing, quality assurance, ci/cd, bug tracking"/>
        <s v="problem solving, time management, teamwork"/>
        <s v="time management, statistics, problem solving, leadership, sql"/>
        <s v="adaptability, google play, kotlin, push notifications, flutter"/>
        <s v="r, teamwork, statistics, powerbi"/>
        <s v="adaptability, jira, time management, leadership, agile, confluence, scrum"/>
        <s v="statistics, data analysis, excel, creativity"/>
        <s v="communication, testing, leadership, teamwork, quality assurance, automation testing"/>
        <s v="adaptability, testing, problem solving, manual testing, quality assurance, security testing"/>
        <s v="communication, technical skills, time management, analytics, teamwork, product management, agile"/>
        <s v="mobile, adaptability, swift, firebase"/>
        <s v="python, adaptability, pandas, excel, data visualization, problem solving, sql"/>
        <s v="critical thinking, web design, adobe creative suite, leadership, design"/>
        <s v="critical thinking, adaptability, java, programming, teamwork, javascript"/>
        <s v="communication, performance testing, selenium, security testing, automation testing"/>
        <s v="critical thinking, communication, time management, statistics, machine learning"/>
        <s v="adaptability, communication, app store, google play"/>
        <s v="teamwork, networking, communication, adaptability"/>
        <s v="communication, creativity, excel, tableau, teamwork, sql"/>
        <s v="adaptability, creativity, problem solving, javascript, html, css"/>
        <s v="critical thinking, microservices, creativity, nodejs"/>
        <s v="swift, time management, kotlin, problem solving, flutter"/>
        <s v="critical thinking, linux, communication, windows, time management, security, networking, powershell, vmware"/>
        <s v="python, leadership, c#, programming"/>
        <s v="stakeholder management, teamwork, risk management, project management"/>
        <s v="powerbi, critical thinking, business intelligence, tableau"/>
        <s v="critical thinking, microservices, teamwork"/>
        <s v="communication, time management, teamwork, javascript, html, angular, css"/>
        <s v="python, communication, testing, programming, agile, javascript"/>
        <s v="time management, leadership"/>
        <s v="critical thinking, linux, communication, docker, gitlab ci, jenkins"/>
        <s v="adaptability, project management, time management, stakeholder management, teamwork, pmp"/>
        <s v="adobe creative suite, problem solving, teamwork, html, css, figma"/>
        <s v="adaptability, java, docker, creativity, aws"/>
        <s v="teamwork, git, agile, java"/>
        <s v="time management, data analysis, excel, creativity, leadership, r, reporting, sql"/>
        <s v="r, python, teamwork, leadership"/>
        <s v="ui/ux, adaptability, communication, adobe creative suite, leadership, html, design, css"/>
        <s v="mobile, leadership, problem solving, kotlin"/>
        <s v="critical thinking, machine learning, communication, pandas"/>
        <s v="python, adaptability, testing, java, time management, programming, teamwork, javascript"/>
        <s v="java, creativity, problem solving, teamwork, flutter"/>
        <s v="python, adaptability, communication, data analysis, excel, creativity, reporting"/>
        <s v="python, c#, programming, problem solving, javascript"/>
        <s v="critical thinking, python, machine learning, time management"/>
        <s v="adobe creative suite, creativity, problem solving, teamwork, design"/>
        <s v="critical thinking, testing, creativity, programming, agile"/>
        <s v="adaptability, web design, adobe creative suite, color theory, design"/>
        <s v="critical thinking, python, creativity, excel, business intelligence, teamwork, powerbi, sql"/>
        <s v="problem solving, leadership, javascript, html, css, sass"/>
        <s v="creativity, react, typescript, problem solving, teamwork, javascript, html, css, nodejs, postgresql"/>
        <s v="critical thinking, adaptability, testing, programming, leadership, agile"/>
        <s v="time management, ci/cd, testing, java"/>
        <s v="critical thinking, python, statistics, data analysis, excel, creativity, leadership, powerbi, reporting"/>
        <s v="java, c#, leadership, php, microservices"/>
        <s v="java, time management, c#, programming, problem solving, teamwork, c++, agile"/>
        <s v="creativity, business intelligence, tableau, teamwork, powerbi, r, process modeling"/>
        <s v="seo, adaptability, content strategy, leadership, social media"/>
        <s v="time management, problem solving, leadership, html, design"/>
        <s v="critical thinking, communication, technical skills, leadership, product management, sql"/>
        <s v="adaptability, communication, teamwork, javascript, html, css"/>
        <s v="critical thinking, problem solving, teamwork"/>
        <s v="problem solving, docker, c++, programming"/>
        <s v="adaptability, project management, risk management, leadership, agile, confluence"/>
        <s v="python, communication, excel, teamwork, sql"/>
        <s v="critical thinking, ui/ux, adobe creative suite, creativity, leadership, design, figma"/>
        <s v="digital marketing, seo, time management, analytics, facebook ads, teamwork"/>
        <s v="python, adaptability, communication, docker, c#, programming, leadership, c++"/>
        <s v="critical thinking, api, communication, php, aws, nodejs, sql"/>
        <s v="critical thinking, html, creativity, react, problem solving, mongodb, php, javascript, css, nodejs"/>
        <s v="problem solving, time management, critical thinking"/>
        <s v="critical thinking, adaptability, mobile, problem solving, flutter"/>
        <s v="communication, bash, creativity, networking, vmware, hyper-v"/>
        <s v="content writing, communication, social media, creativity"/>
        <s v="stakeholder management, teamwork, creativity, jira"/>
        <s v="critical thinking, teamwork, react"/>
        <s v="kubernetes, java, c#, problem solving, php, microservices"/>
        <s v="adaptability, docker, teamwork, javascript, html, css, sql"/>
        <s v="machine learning, scipy, communication"/>
        <s v="critical thinking, problem solving, security, networking, powershell"/>
        <s v="critical thinking, problem solving, time management"/>
        <s v="google play, adaptability, swift, java"/>
        <s v="adobe creative suite, design, problem solving, html"/>
        <s v="python, adaptability, leadership, sql"/>
        <s v="python, docker, time management, creativity, teamwork, postgresql, mongodb, javascript, html, css, aws, sql"/>
        <s v="creativity, programming, leadership, teamwork, c++"/>
        <s v="security, teamwork, powershell, communication"/>
        <s v="python, adaptability, communication, requirements analysis, excel, business intelligence, tableau, teamwork, agile, sql"/>
        <s v="python, testing, java, creativity, programming, problem solving, teamwork, git, javascript"/>
        <s v="critical thinking, adaptability, docker, react, microservices, postgresql"/>
        <s v="graphic design, seo, copywriting, content strategy, time management, problem solving, wordpress"/>
        <s v="critical thinking, testing, java, time management, programming, problem solving, git"/>
        <s v="pandas, communication, hadoop, statistics, problem solving, leadership, scipy"/>
        <s v="problem solving, docker, linux, terraform"/>
        <s v="critical thinking, linux, communication, windows, security"/>
        <s v="adaptability, communication, testing, manual testing, quality assurance, selenium, ci/cd, bug tracking"/>
        <s v="testing, time management, leadership, quality assurance, automation testing"/>
        <s v="python, communication, statistics, problem solving, sql"/>
        <s v="communication, devops, react, mongodb, microservices, nodejs"/>
        <s v="adobe creative suite, time management, creativity, design, figma"/>
        <s v="communication, docker, devops, postgresql, mongodb, javascript, html, css, sql"/>
        <s v="problem solving, adaptability, time management"/>
        <s v="linux, windows, bash, time management, security, powershell, active directory"/>
        <s v="adaptability, web design, adobe creative suite, print design, design"/>
        <s v="creativity, ci/cd, communication, programming"/>
        <s v="critical thinking, bash, communication, time management"/>
        <s v="hadoop, deep learning, teamwork, communication"/>
        <s v="communication, web design, adobe creative suite, time management, teamwork, design"/>
        <s v="content writing, adaptability, communication, time management, teamwork, wordpress, social media, video editing"/>
        <s v="problem solving, design, ui/ux, figma"/>
        <s v="api, c#, leadership, php, sql"/>
        <s v="adaptability, pandas, time management, statistics, data visualization, problem solving"/>
        <s v="docker, leadership, azure"/>
        <s v="adaptability, time management, responsive design, react, teamwork, angular"/>
        <s v="communication, time management, creativity, azure, monitoring, prometheus"/>
        <s v="adaptability, testing, creativity, quality assurance, ci/cd"/>
        <s v="critical thinking, data analysis, excel, tableau, teamwork, powerbi"/>
        <s v="graphic design, seo, content writing, critical thinking, communication, content strategy, creativity, analytics, problem solving, social media"/>
        <s v="adaptability, communication, c#, leadership, azure, aws, nodejs"/>
        <s v="critical thinking, confluence"/>
        <s v="ui/ux, adaptability, leadership, teamwork, design, figma"/>
        <s v="communication, technical skills, roadmap planning, time management, creativity, teamwork, product management"/>
        <s v="time management, creativity, programming, leadership, c++, ci/cd"/>
        <s v="critical thinking, css, javascript, html"/>
        <s v="critical thinking, python, api, time management, go, php, aws, sql"/>
        <s v="digital marketing, creativity, content marketing, email marketing"/>
        <s v="time management, creativity, leadership, project management"/>
        <s v="time management, statistics, data visualization, tableau, powerbi"/>
        <s v="critical thinking, data analysis, excel, leadership, teamwork"/>
        <s v="linux, windows, leadership, teamwork, powershell, monitoring"/>
        <s v="design, ui/ux, communication"/>
        <s v="communication, statistics, spark, leadership, pytorch, scipy"/>
        <s v="leadership, technical skills, roadmap planning"/>
        <s v="deep learning, creativity, time management, spark, problem solving"/>
        <s v="adaptability, problem solving, devops"/>
        <s v="critical thinking, linux, docker, gitlab ci, grafana, creativity, ansible, azure, aws"/>
        <s v="problem solving, python, teamwork, sql"/>
        <s v="react native, java, firebase, leadership, push notifications, flutter"/>
        <s v="digital marketing, time management, creativity, critical thinking"/>
        <s v="critical thinking, creativity, aws"/>
        <s v="python, docker, creativity, problem solving, javascript, html, microservices, css, nodejs, sql"/>
        <s v="python, pandas, communication, excel, data visualization, tableau, powerbi, sql"/>
        <s v="critical thinking, communication, powerbi"/>
        <s v="communication, time management, statistics, creativity, powerbi, r, reporting"/>
        <s v="critical thinking, communication, swift, mobile, kotlin, problem solving, push notifications, flutter"/>
        <s v="digital marketing, conversion optimization, sem, facebook ads, leadership"/>
        <s v="problem solving, sketch, prototyping"/>
        <s v="ui/ux, user research, leadership, wireframing, design"/>
        <s v="leadership, gitlab ci, ansible"/>
        <s v="problem solving, docker, linux, ansible"/>
        <s v="color theory, problem solving, web design"/>
        <s v="adaptability, communication, project management, stakeholder management, agile"/>
        <s v="python, leadership, postgresql, javascript, html, css, nodejs, sql"/>
        <s v="python, docker, teamwork, postgresql, javascript, html, microservices, css, nodejs, sql"/>
        <s v="adaptability, javascript, html, microservices, css, sql"/>
        <s v="python, creativity, excel, process modeling, sql"/>
        <s v="linux, windows, creativity, networking, vmware"/>
        <s v="problem solving, design"/>
        <s v="critical thinking, linux, adaptability, kubernetes, docker, gitlab ci, ansible, teamwork, prometheus"/>
        <s v="critical thinking, communication, statistics, excel, tableau, leadership, sql"/>
        <s v="communication, technical skills, problem solving, teamwork, product management, sql"/>
        <s v="graphic design, leadership, wordpress"/>
        <s v="problem solving, docker, linux, aws"/>
        <s v="python, testing, programming, leadership, javascript, sql"/>
        <s v="python, adaptability, api, java, leadership, teamwork, nodejs, sql"/>
        <s v="illustrator, adobe creative suite, color theory, branding, leadership, design"/>
        <s v="kotlin, critical thinking, teamwork, react native"/>
        <s v="communication, time management, problem solving, manual testing, selenium, bug tracking"/>
        <s v="adaptability, design, teamwork, ui/ux"/>
        <s v="communication, technical skills, creativity, leadership, product management, agile"/>
        <s v="excel, data visualization, machine learning, leadership, teamwork, powerbi, r, sql"/>
        <s v="ui/ux, communication, creativity, problem solving, design, sketch, figma"/>
        <s v="ui/ux, adaptability, communication, adobe creative suite, leadership, prototyping, html, design, css, figma"/>
        <s v="statistics, data analysis, excel, creativity, powerbi, sql"/>
        <s v="linux, adaptability, docker, gitlab ci, creativity, teamwork, monitoring"/>
        <s v="graphic design, seo, copywriting, problem solving, wordpress, social media"/>
        <s v="communication, testing, time management, c#, programming, leadership"/>
        <s v="critical thinking, communication, java, programming, problem solving, agile, javascript"/>
        <s v="time management, communication"/>
        <s v="linux, communication, kubernetes, docker, problem solving, teamwork"/>
        <s v="indesign, color theory, creativity, branding, teamwork"/>
        <s v="critical thinking, communication, time management, powerbi, r"/>
        <s v="critical thinking, adaptability, testing, api testing, problem solving, quality assurance, selenium, ci/cd, automation testing, bug tracking"/>
        <s v="creativity, swift"/>
        <s v="critical thinking, python, api, communication, time management, go, sql"/>
        <s v="active directory, time management, creativity, leadership, powershell, monitoring"/>
        <s v="linux, docker, gitlab ci, time management, teamwork"/>
        <s v="photoshop, critical thinking, illustrator, indesign"/>
        <s v="python, communication, deep learning, leadership, sql"/>
        <s v="adaptability, jira, communication, project management, stakeholder management, problem solving"/>
        <s v="critical thinking, creativity, grafana, ansible, leadership, terraform, prometheus, aws"/>
        <s v="critical thinking, linux, adaptability, kubernetes, docker, gitlab ci, problem solving, prometheus, aws"/>
        <s v="adobe creative suite, design, teamwork, illustrator"/>
        <s v="problem solving, time management, adaptability, php"/>
        <s v="critical thinking, java, mobile, time management, google play, kotlin, firebase, flutter"/>
        <s v="problem solving, css, javascript, html"/>
        <s v="communication, testing, time management, leadership, quality assurance"/>
        <s v="api, kubernetes, java, docker, leadership, teamwork, sql"/>
        <s v="linux, adaptability, docker, ansible, teamwork, azure"/>
        <s v="adaptability, react native, java, creativity, app store"/>
        <s v="critical thinking, adaptability, responsive design"/>
        <s v="adaptability, testing, time management, performance testing, quality assurance, bug tracking"/>
        <s v="react, typescript, vue, teamwork, javascript, html, angular, css"/>
        <s v="numpy, python, critical thinking, pandas, machine learning, sql"/>
        <s v="critical thinking, design, prototyping, time management"/>
        <s v="linux, kubernetes, docker, time management, jenkins, leadership, aws"/>
        <s v="web design, adobe creative suite, color theory, creativity, branding, photoshop, design"/>
        <s v="security, networking, powershell, communication"/>
        <s v="digital marketing, communication, conversion optimization, time management, content marketing"/>
        <s v="critical thinking, jira, stakeholder management, problem solving, teamwork, scrum"/>
        <s v="leadership, teamwork, time management, java"/>
        <s v="adaptability, excel, problem solving, leadership, sql"/>
        <s v="api, time management, leadership, azure, microservices, sql"/>
        <s v="problem solving, design, ui/ux, html"/>
        <s v="adaptability, testing, creativity, quality assurance, security testing"/>
        <s v="teamwork, adaptability, css, prototyping"/>
        <s v="leadership, adaptability, indesign, communication"/>
        <s v="adaptability, linux, docker, creativity, leadership, azure"/>
        <s v="adaptability, swift, mobile, kotlin, push notifications, flutter"/>
        <s v="digital marketing, seo, adaptability, email marketing, sem, creativity"/>
        <s v="critical thinking, creativity, responsive design, react, typescript, leadership, angular, sass"/>
        <s v="critical thinking, user research, communication, figma"/>
        <s v="communication, statistics, excel, data visualization, machine learning, teamwork, leadership, sql"/>
        <s v="time management, teamwork"/>
        <s v="testing, creativity, api testing, quality assurance, automation testing, bug tracking"/>
        <s v="digital marketing, seo, critical thinking, adaptability, conversion optimization, analytics, problem solving"/>
        <s v="testing, c#, leadership, teamwork, git"/>
        <s v="adaptability, communication, technical skills, a/b testing, problem solving, product management, agile"/>
        <s v="jira, communication, project management, time management, leadership, problem solving, agile, confluence, pmp"/>
        <s v="critical thinking, communication, java, mobile, creativity"/>
        <s v="design, teamwork, leadership, figma"/>
        <s v="adaptability, time management, statistics, excel, teamwork, sql"/>
        <s v="python, adaptability, deep learning, spark, sql"/>
        <s v="adaptability, sem, creativity, facebook ads, problem solving, social media"/>
        <s v="adaptability, teamwork, agile, programming"/>
        <s v="digital marketing, seo, communication, analytics, leadership"/>
        <s v="java, creativity, c#, c++, agile, git"/>
        <s v="critical thinking, ui/ux, creativity, problem solving, wireframing, design, sketch"/>
        <s v="communication, time management, creativity, performance testing, manual testing, selenium, bug tracking"/>
        <s v="typography, adobe creative suite, color theory, branding, photoshop, leadership, design"/>
        <s v="critical thinking, ui/ux, adaptability, adobe creative suite, user research, leadership, prototyping, design"/>
        <s v="leadership, communication, time management, project management"/>
        <s v="java, time management, programming, teamwork, c++, ci/cd"/>
        <s v="go, docker, adaptability, creativity"/>
        <s v="communication, swift, java, mobile, google play, leadership, problem solving, flutter"/>
        <s v="critical thinking, communication, technical skills, a/b testing, product management"/>
        <s v="design, ui/ux, communication, time management"/>
        <s v="content writing, communication, time management, problem solving, social media"/>
        <s v="linux, adaptability, windows, problem solving, networking, leadership, powershell"/>
        <s v="leadership, postgresql, javascript, html, css, sql"/>
        <s v="teamwork, leadership, a/b testing"/>
        <s v="devops, creativity, leadership, microservices, nodejs"/>
        <s v="responsive design, webpack, teamwork, javascript, html, angular, css, sass"/>
        <s v="time management, statistics, leadership, powerbi"/>
        <s v="communication, c#, leadership, git, javascript"/>
        <s v="illustrator, indesign, communication, color theory, time management, teamwork"/>
        <s v="linux, adaptability, communication, docker, time management, azure, terraform, monitoring"/>
        <s v="teamwork, communication, pytorch"/>
        <s v="adaptability, project management, stakeholder management, confluence, scrum"/>
        <s v="python, agile, time management"/>
        <s v="adaptability, creativity"/>
        <s v="statistics, data analysis, excel, tableau, problem solving, powerbi, reporting"/>
        <s v="seo, time management, copywriting, social media"/>
        <s v="r, leadership, teamwork, process modeling"/>
        <s v="critical thinking, pandas, statistics, excel, tableau, sql"/>
        <s v="html, typescript, problem solving, php, javascript, angular, css, nodejs"/>
        <s v="creativity, jenkins"/>
        <s v="critical thinking, indesign, adobe creative suite, color theory, creativity, photoshop, print design, problem solving, design"/>
        <s v="selenium, leadership, manual testing, bug tracking"/>
        <s v="time management, prometheus, communication, ansible"/>
        <s v="problem solving, active directory, leadership, creativity"/>
        <s v="adaptability, time management, webpack, leadership, php, nodejs, postgresql"/>
        <s v="mobile, creativity, adaptability"/>
        <s v="time management, creativity, webpack, react, leadership, javascript, html, angular, css, sass"/>
        <s v="python, communication, testing, creativity, teamwork"/>
        <s v="critical thinking, communication, technical skills, teamwork, product management, sql"/>
        <s v="communication, adobe creative suite, leadership, sketch, figma"/>
        <s v="problem solving, leadership, sql"/>
        <s v="illustrator, adobe creative suite, time management, photoshop, print design, design"/>
        <s v="adaptability, sketch, user research, figma"/>
        <s v="java, creativity, programming, problem solving, teamwork, javascript, sql"/>
        <s v="critical thinking, adobe creative suite, color theory, time management, photoshop, leadership, design"/>
        <s v="critical thinking, communication, technical skills, user research, product management, agile, wireframing"/>
        <s v="communication, creativity, leadership, prototyping, design, css"/>
        <s v="adaptability, mongodb, javascript, html, css, nodejs"/>
        <s v="adaptability"/>
        <s v="digital marketing, email marketing, sem, time management, creativity, content marketing, google ads"/>
        <s v="communication, webpack, vue, leadership, angular, nodejs, postgresql"/>
        <s v="problem solving, leadership, adaptability"/>
        <s v="adaptability, java, creativity, leadership, agile"/>
        <s v="communication, react, postgresql, mongodb, javascript, html, css, sql"/>
        <s v="critical thinking, seo, content writing, communication, copywriting, analytics, leadership, teamwork, wordpress, social media"/>
        <s v="pandas, communication, statistics, excel, machine learning, teamwork, r, sql"/>
        <s v="design, adaptability, prototyping"/>
        <s v="linux, docker, creativity, leadership, teamwork"/>
        <s v="teamwork, c#, creativity"/>
        <s v="critical thinking, responsive design, leadership, javascript, html, angular, css"/>
        <s v="critical thinking, communication, devops, postgresql, mongodb, javascript, html, css, nodejs, sql"/>
        <s v="python, api, java, creativity, php, microservices, sql"/>
        <s v="linux, communication, windows, active directory, bash, creativity, problem solving, powershell, vmware"/>
        <s v="teamwork, microservices, devops, creativity"/>
        <s v="communication, creativity, user research, analytics, leadership, product management, agile"/>
        <s v="adaptability, testing, performance testing, problem solving, manual testing, quality assurance, selenium, bug tracking"/>
        <s v="python, adaptability, time management, sql"/>
        <s v="critical thinking, teamwork, creativity, user research"/>
        <s v="critical thinking, python, adaptability, deep learning, statistics, tensorflow, sql"/>
        <s v="critical thinking, time management, devops, javascript, html, css, sql"/>
        <s v="leadership, teamwork, communication"/>
        <s v="adaptability, creativity, excel, tableau, sql"/>
        <s v="adaptability, java, time management, creativity, c#, c++, git, ci/cd"/>
        <s v="time management, teamwork, html"/>
        <s v="html, adaptability, webpack, vue, php, javascript, css, postgresql"/>
        <s v="sem, time management, analytics, problem solving, teamwork, google ads"/>
        <s v="docker, linux, communication, aws"/>
        <s v="web design, typography, adobe creative suite, problem solving, design"/>
        <s v="critical thinking, creativity, typescript, vue, problem solving, mongodb, angular, nodejs"/>
        <s v="powerbi, time management, reporting, tableau"/>
        <s v="problem solving, adaptability"/>
        <s v="adaptability, react, vue, javascript, html, angular, css"/>
        <s v="teamwork, css, communication, figma"/>
        <s v="pandas, statistics, creativity, leadership, tensorflow"/>
        <s v="testing, api testing, performance testing, leadership, problem solving, manual testing, quality assurance"/>
        <s v="jira, project management, leadership, teamwork, scrum"/>
        <s v="indesign, illustrator, adobe creative suite, creativity, print design, leadership, design"/>
        <s v="pandas, time management, statistics, excel, machine learning, sql"/>
        <s v="critical thinking, communication, technical skills, a/b testing, analytics, problem solving, teamwork, product management"/>
        <s v="mobile, communication, kotlin"/>
        <s v="leadership, creativity, communication"/>
        <s v="linux, windows, bash, creativity, security, powershell, vmware, hyper-v"/>
        <s v="illustrator, indesign, web design, adobe creative suite, color theory, time management, photoshop, leadership, design"/>
        <s v="time management, creativity, facebook ads, email marketing"/>
        <s v="adaptability, monitoring, critical thinking, active directory"/>
        <s v="problem solving, data analysis, excel"/>
        <s v="testing, time management, problem solving, leadership, manual testing, quality assurance, selenium, bug tracking"/>
        <s v="critical thinking, communication, project management, risk management, time management, scrum"/>
        <s v="critical thinking, design, leadership, figma"/>
        <s v="critical thinking, creativity, stakeholder management, scrum, pmp"/>
        <s v="communication, react, vue, teamwork, figma"/>
        <s v="critical thinking, ui/ux, adobe creative suite, prototyping, wireframing, design, css, figma"/>
        <s v="photoshop, teamwork, creativity, indesign"/>
        <s v="critical thinking, creativity, terraform, kubernetes"/>
        <s v="creativity, requirements analysis, excel, business intelligence, tableau, problem solving, teamwork, agile, r, sql"/>
        <s v="critical thinking, java, sql"/>
        <s v="leadership, teamwork"/>
        <s v="vue, angular, leadership, php"/>
        <s v="stakeholder management, communication, project management"/>
        <s v="communication, c#, nodejs"/>
        <s v="responsive design, react, leadership, javascript, html, css"/>
        <s v="leadership, creativity, c#, javascript"/>
        <s v="teamwork, adaptability, quality assurance, testing"/>
        <s v="python, teamwork, ci/cd, communication"/>
        <s v="critical thinking, linux, adaptability, communication, windows, vmware"/>
        <s v="hadoop, machine learning, adaptability"/>
        <s v="pandas, statistics, excel, creativity, tableau, machine learning, teamwork, sql"/>
        <s v="adaptability, creativity, react, javascript, html, css"/>
        <s v="hadoop, critical thinking, pytorch"/>
        <s v="html, time management, vue, php, javascript, angular, css"/>
        <s v="time management, webpack, sass, leadership"/>
        <s v="linux, communication, kubernetes, docker, grafana, jenkins, aws"/>
        <s v="creativity, vue, leadership, problem solving, mongodb, javascript, html, angular, css"/>
        <s v="python, api, creativity, c#, problem solving, leadership, php, sql"/>
        <s v="problem solving, api, aws, sql"/>
        <s v="problem solving, deep learning, statistics, pandas"/>
        <s v="illustrator, web design, adobe creative suite, time management, problem solving, teamwork, design"/>
        <s v="design, teamwork, ui/ux, time management"/>
        <s v="creativity, webpack, react, vue, problem solving, angular"/>
        <s v="adaptability, adobe creative suite, creativity, problem solving, prototyping, html, sketch"/>
        <s v="adaptability, a/b testing, product management, communication"/>
        <s v="linux, adaptability, docker, problem solving, leadership"/>
        <s v="critical thinking, api, creativity, go, leadership, aws, sql"/>
        <s v="time management, problem solving, mongodb, javascript, html, css, sql"/>
        <s v="critical thinking, problem solving, leadership, javascript, html, css, sass, postgresql"/>
        <s v="security, linux, windows, creativity"/>
        <s v="python, api, time management, creativity, c#, leadership, php, aws, sql"/>
        <s v="critical thinking, adobe creative suite, user research, teamwork, sketch, css, figma"/>
        <s v="creativity, typescript, javascript, html, css, sass, nodejs"/>
        <s v="seo, leadership, communication, social media"/>
        <s v="time management, vue, leadership, teamwork, javascript, html, angular, css, sass"/>
        <s v="time management, teamwork, aws, ansible"/>
        <s v="digital marketing, sem, time management, problem solving, leadership, social media, google ads"/>
        <s v="time management, copywriting, social media, content strategy"/>
        <s v="adaptability, communication, programming, git, agile"/>
        <s v="technical skills, roadmap planning, a/b testing, creativity, agile"/>
        <s v="photoshop, teamwork, indesign"/>
        <s v="critical thinking, responsive design, typescript, vue, teamwork, javascript, html, angular, css"/>
        <s v="web design, adobe creative suite, photoshop, print design, problem solving, design"/>
        <s v="critical thinking, leadership"/>
        <s v="linux, powershell, windows, creativity"/>
        <s v="graphic design, time management, analytics"/>
        <s v="graphic design, content writing, communication, time management, leadership"/>
        <s v="api, go, leadership, azure, nodejs, sql"/>
        <s v="communication, time management, creativity, javascript, html, css, figma"/>
        <s v="communication, data analysis, excel, leadership, sql"/>
        <s v="critical thinking, creativity, excel, problem solving, sql"/>
        <s v="adaptability, creativity, problem solving, javascript, html, css, figma"/>
        <s v="hadoop, statistics, leadership, teamwork, scipy"/>
        <s v="adaptability, communication, creativity, javascript, html, css"/>
        <s v="digital marketing, critical thinking, adaptability, conversion optimization, teamwork"/>
        <s v="content writing, communication, time management, leadership, problem solving, video editing"/>
        <s v="adobe creative suite, design, creativity, prototyping"/>
        <s v="communication, excel, agile, powerbi, process modeling, sql"/>
        <s v="digital marketing, conversion optimization, facebook ads, leadership, content marketing"/>
        <s v="adaptability, communication, project management, time management, leadership, scrum, pmp"/>
        <s v="design, adaptability, css, communication"/>
        <s v="critical thinking, adaptability, leadership, prototyping, design, css"/>
        <s v="digital marketing, communication, conversion optimization, time management, leadership, social media"/>
        <s v="communication, web design"/>
        <s v="critical thinking, ui/ux, communication, creativity, design"/>
        <s v="python, creativity, programming, leadership, teamwork, javascript"/>
        <s v="linux, adaptability, windows, vmware, security, networking, problem solving, powershell, active directory"/>
        <s v="python, time management, programming"/>
        <s v="creativity, vue, javascript, html, css"/>
        <s v="teamwork, bash, creativity, adaptability"/>
        <s v="risk management, creativity, problem solving, teamwork, confluence"/>
        <s v="java, c#, programming, teamwork, agile, javascript"/>
        <s v="numpy, critical thinking, adaptability, deep learning, creativity, tensorflow"/>
        <s v="adaptability, devops, problem solving, postgresql, javascript, html, css, sql"/>
        <s v="creativity, git, communication, programming"/>
        <s v="leadership, analytics, video editing"/>
        <s v="vue, critical thinking, react"/>
        <s v="indesign, illustrator, color theory, creativity, photoshop"/>
        <s v="adaptability, react, javascript, html, css, sass, nodejs"/>
        <s v="adaptability, time management, requirements analysis, tableau, teamwork, powerbi"/>
        <s v="adaptability, python, creativity, communication"/>
        <s v="adaptability, grafana, azure, aws"/>
        <s v="time management, react"/>
        <s v="time management"/>
        <s v="communication, statistics, tableau, teamwork, sql"/>
        <s v="numpy, python, adaptability, hadoop, statistics, problem solving, leadership, scipy, sql"/>
        <s v="python, communication, requirements analysis, business intelligence, powerbi"/>
        <s v="critical thinking, communication, teamwork, networking, vmware, hyper-v"/>
        <s v="ui/ux, adobe creative suite, teamwork, prototyping, wireframing, html, design, sketch"/>
        <s v="graphic design, critical thinking, content writing, adaptability, communication, content strategy, creativity, social media"/>
        <s v="problem solving, project management"/>
        <s v="html, adaptability, time management, problem solving, php, javascript, angular, css, sass"/>
        <s v="risk management, teamwork, creativity, adaptability"/>
        <s v="critical thinking, adaptability, testing"/>
        <s v="creativity, teamwork, javascript, html, css, sql"/>
        <s v="python, adaptability, excel, agile, powerbi, sql"/>
        <s v="communication, testing, creativity, programming, ci/cd"/>
        <s v="ui/ux, communication, creativity, wireframing, design, css"/>
        <s v="teamwork, adaptability, css"/>
        <s v="data analysis, excel, tableau, problem solving, reporting, sql"/>
        <s v="problem solving, git"/>
        <s v="ui/ux, adaptability, css"/>
        <s v="vue, leadership, responsive design, react"/>
        <s v="risk management, leadership, scrum, problem solving"/>
        <s v="time management, creativity, reporting, powerbi"/>
        <s v="seo, creativity, content strategy"/>
        <s v="time management, webpack, vue, problem solving, javascript, html, css"/>
        <s v="ui/ux, adaptability, creativity, react, angular"/>
        <s v="adobe creative suite, teamwork, figma"/>
        <s v="python, statistics, data analysis, excel, creativity, leadership, powerbi"/>
        <s v="adaptability, pandas, excel, data visualization, tableau, sql"/>
        <s v="html, communication, leadership, mongodb, php, javascript, css"/>
        <s v="react native, java, time management, creativity, kotlin"/>
        <s v="problem solving, design, adaptability, creativity"/>
        <s v="adaptability, creativity, react, mongodb, javascript, html, css, nodejs, sql"/>
        <s v="communication, project management, risk management, time management, creativity, leadership, confluence, scrum"/>
        <s v="java, docker, time management, go, php"/>
        <s v="adaptability, adobe creative suite, creativity, user research, prototyping, css"/>
        <s v="communication, roadmap planning, a/b testing, analytics, leadership, product management, agile, wireframing"/>
        <s v="critical thinking, ui/ux, adobe creative suite, time management, design, sketch"/>
        <s v="communication, technical skills, analytics, teamwork, product management, sql"/>
        <s v="digital marketing, communication, sem, teamwork, social media"/>
        <s v="linux, communication, windows, bash, security, teamwork, powershell, active directory"/>
        <s v="creativity, user research, teamwork, prototyping, sketch, css"/>
        <s v="digital marketing, critical thinking, sem, analytics, leadership, problem solving, social media, content marketing, google ads"/>
        <s v="adaptability, communication, teamwork, html, css"/>
        <s v="adaptability, testing, quality assurance, selenium, security testing, automation testing, bug tracking"/>
        <s v="leadership, java, javascript, sql"/>
        <s v="api, communication, kubernetes, java, creativity, go, problem solving, sql"/>
        <s v="communication, javascript, html, css, postgresql"/>
        <s v="ui/ux, adobe creative suite, time management, creativity, html, design, sketch"/>
        <s v="critical thinking, leadership, git, agile"/>
        <s v="problem solving, content writing, communication"/>
        <s v="critical thinking, docker, c++, programming"/>
        <s v="adaptability, communication, technical skills, creativity, user research, analytics, product management, sql"/>
        <s v="adaptability, java, creativity, problem solving, javascript, sql"/>
        <s v="python, adaptability, java, creativity, programming, git, sql"/>
        <s v="critical thinking, adaptability, photoshop, print design, teamwork"/>
        <s v="content writing, adaptability, communication, copywriting, content strategy, problem solving, social media"/>
        <s v="graphic design, seo, content writing, communication, copywriting, leadership, social media"/>
        <s v="linux, adaptability, docker, time management, creativity, monitoring"/>
        <s v="critical thinking, python, pandas, time management, statistics, excel, tableau, machine learning, teamwork, sql"/>
        <s v="time management, creativity, terraform"/>
        <s v="problem solving, communication, wireframing"/>
        <s v="adaptability, testing, java, creativity, c#, programming, agile, javascript"/>
        <s v="critical thinking, adaptability, hadoop, spark, teamwork"/>
        <s v="python, adaptability, data analysis, excel, creativity, problem solving, reporting"/>
        <s v="communication, performance testing, teamwork, selenium, security testing"/>
        <s v="critical thinking, time management, statistics, data visualization, tableau, machine learning, r"/>
        <s v="critical thinking, communication, roadmap planning, user research, analytics, product management"/>
        <s v="critical thinking, java, time management, creativity, c#, programming, c++"/>
        <s v="critical thinking, api, kubernetes, problem solving, leadership, sql"/>
        <s v="critical thinking, python, java, creativity, programming, sql"/>
        <s v="critical thinking, html, webpack, vue, php, javascript, angular, css, sass"/>
        <s v="communication, roadmap planning, time management, product management, wireframing, sql"/>
        <s v="bash, creativity, leadership, teamwork, powershell, vmware"/>
        <s v="critical thinking, time management, communication"/>
        <s v="python, communication, java, time management, c++"/>
        <s v="go, adaptability, c#, kubernetes"/>
        <s v="teamwork, communication"/>
        <s v="kotlin, leadership, react native, swift"/>
        <s v="vue, time management, creativity, adaptability"/>
        <s v="python, testing, creativity, agile, javascript, sql"/>
        <s v="digital marketing, seo, communication, sem, time management, creativity, analytics"/>
        <s v="adaptability, swift, java, mobile, kotlin, teamwork"/>
        <s v="ui/ux, adaptability"/>
        <s v="critical thinking, tableau, problem solving, reporting, sql"/>
        <s v="critical thinking, python, communication, c#, programming, c++"/>
        <s v="critical thinking, python, data analysis, excel, reporting"/>
        <s v="python, creativity, requirements analysis, excel, leadership, process modeling, sql"/>
        <s v="design, teamwork, prototyping"/>
        <s v="communication, a/b testing, problem solving, product management, agile, sql"/>
        <s v="seo, content writing, communication, copywriting, creativity"/>
        <s v="adaptability, communication, time management, typescript, sass, nodejs"/>
        <s v="sem, teamwork, facebook ads, content marketing"/>
        <s v="indesign, communication, typography, adobe creative suite, time management, branding, photoshop, print design, leadership, design"/>
        <s v="time management, statistics, communication, creativity"/>
        <s v="time management, creativity, c++, programming"/>
        <s v="critical thinking, time management, creativity, powerbi, r"/>
        <s v="seo, adaptability, communication, copywriting, content strategy, time management, wordpress, video editing"/>
        <s v="adobe creative suite, design, ui/ux, critical thinking"/>
        <s v="critical thinking, api, communication, leadership, sql"/>
        <s v="teamwork, docker, devops, problem solving"/>
        <s v="critical thinking, seo, content writing, communication, copywriting, teamwork"/>
        <s v="adaptability, swift, mobile, time management, creativity, google play, firebase, kotlin, flutter"/>
        <s v="adaptability, communication, time management, programming, javascript"/>
        <s v="critical thinking, leadership, social media, content strategy"/>
        <s v="communication, creativity, user research, teamwork, product management"/>
        <s v="adaptability, communication, manual testing, automation testing, bug tracking"/>
        <s v="seo, copywriting, creativity, problem solving, wordpress, social media"/>
        <s v="communication, adobe creative suite, creativity, teamwork, design"/>
        <s v="python, communication, problem solving, mongodb, javascript, html, css, aws, nodejs, sql"/>
        <s v="digital marketing, analytics, facebook ads, leadership, social media, google ads"/>
        <s v="adaptability, statistics, excel, tableau, teamwork, sql"/>
        <s v="testing, problem solving, quality assurance, ci/cd, automation testing"/>
        <s v="linux, communication, windows, security, networking, powershell"/>
        <s v="flutter, time management, leadership, google play"/>
        <s v="flutter, communication, app store, swift"/>
        <s v="critical thinking, adaptability, communication, project management"/>
        <s v="linux, docker, time management, ansible, problem solving, terraform, aws"/>
        <s v="project management, time management, leadership, agile, confluence, pmp"/>
        <s v="creativity, requirements analysis, business intelligence, agile, powerbi"/>
        <s v="r, problem solving, adaptability, sql"/>
        <s v="adaptability, communication, technical skills, a/b testing, analytics, product management, agile"/>
        <s v="adaptability, bash, networking, powershell"/>
        <s v="sem, critical thinking, analytics"/>
        <s v="time management, business intelligence, tableau"/>
        <s v="teamwork, user research, agile, technical skills"/>
        <s v="critical thinking, active directory, time management, networking, vmware"/>
        <s v="communication, technical skills, roadmap planning, user research, sql"/>
        <s v="critical thinking, indesign, web design, color theory, creativity, branding"/>
        <s v="linux, communication, windows, networking, monitoring"/>
        <s v="linux, kubernetes, docker, leadership, problem solving, azure, monitoring, aws"/>
        <s v="communication, time management, programming, teamwork, agile, ci/cd"/>
        <s v="critical thinking, python, time management, statistics, data analysis, excel, leadership, powerbi, sql"/>
        <s v="critical thinking, teamwork, manual testing, performance testing"/>
        <s v="communication, adobe creative suite, problem solving, leadership, prototyping, design, css, figma"/>
        <s v="leadership, analytics, google ads"/>
        <s v="numpy, python, statistics, leadership, problem solving, scipy, sql"/>
        <s v="java, docker, creativity, teamwork, nodejs"/>
        <s v="mobile, react native, communication, java"/>
        <s v="critical thinking, adaptability, react, vue, leadership, javascript, html, angular, css"/>
        <s v="python, adaptability, communication, time management, sql"/>
        <s v="communication, prototyping, html, sketch, figma"/>
        <s v="critical thinking, communication, roadmap planning, creativity, user research, product management, agile, wireframing, sql"/>
        <s v="time management, bash, security, networking, teamwork, vmware"/>
        <s v="critical thinking, adaptability, content strategy, analytics, teamwork, wordpress"/>
        <s v="testing, creativity, programming, leadership, agile"/>
        <s v="graphic design, communication, content strategy, analytics, problem solving, teamwork"/>
        <s v="design, css, communication"/>
        <s v="python, teamwork, agile"/>
        <s v="linux, adaptability, windows, time management, teamwork, active directory, hyper-v"/>
        <s v="design, teamwork, ui/ux, figma"/>
        <s v="digital marketing, critical thinking, communication, email marketing, sem, facebook ads, analytics, content marketing"/>
        <s v="python, time management, programming, teamwork, c++"/>
        <s v="pandas, deep learning, creativity, time management, tensorflow, scipy"/>
        <s v="critical thinking, ui/ux, time management, figma"/>
        <s v="conversion optimization, leadership, critical thinking, communication"/>
        <s v="critical thinking, communication, data analysis, excel, teamwork"/>
        <s v="docker, time management, react, problem solving, aws"/>
        <s v="critical thinking, testing, leadership, manual testing, quality assurance, selenium, ci/cd, automation testing"/>
        <s v="python, communication, statistics, data analysis, excel, teamwork, powerbi"/>
        <s v="python, time management, requirements analysis, business intelligence, teamwork, powerbi, r"/>
        <s v="adaptability, gitlab ci, grafana, creativity, leadership"/>
        <s v="critical thinking, problem solving, programming"/>
        <s v="time management, statistics, reporting"/>
        <s v="python, communication, java, sql"/>
        <s v="teamwork, bash, creativity, security"/>
        <s v="adobe creative suite, ui/ux, time management"/>
        <s v="mobile, time management, firebase, problem solving, push notifications, flutter"/>
        <s v="docker, leadership, mongodb, aws, postgresql"/>
        <s v="communication, creativity, agile, project management"/>
        <s v="adaptability, gitlab ci, terraform, ansible"/>
        <s v="critical thinking, teamwork, javascript, html, css, nodejs, sql"/>
        <s v="python, adaptability, time management, requirements analysis, tableau, problem solving, r"/>
        <s v="time management, requirements analysis, powerbi"/>
        <s v="linux, communication, docker, jenkins, ansible, terraform, monitoring, aws"/>
        <s v="linux, adaptability, communication, kubernetes, docker, ansible, problem solving"/>
        <s v="critical thinking, communication, project management, leadership, agile"/>
        <s v="adaptability, postgresql, mongodb, javascript, html, css, sql"/>
        <s v="teamwork, video editing"/>
        <s v="numpy, python, adaptability, statistics, problem solving, teamwork, sql"/>
        <s v="api, java, docker, creativity, go, php, sql"/>
        <s v="critical thinking, ui/ux, adobe creative suite, creativity, wireframing, design, figma"/>
        <s v="critical thinking, project management, risk management, creativity, problem solving, pmp"/>
        <s v="adobe creative suite, creativity, html, design, css"/>
        <s v="python, adaptability, java, programming"/>
        <s v="adaptability, communication, a/b testing, user research, analytics, creativity, product management"/>
        <s v="critical thinking, adaptability, communication"/>
        <s v="responsive design, teamwork, javascript, html, angular, css"/>
        <s v="communication, user research, analytics, problem solving, product management, agile, wireframing"/>
        <s v="python, time management, statistics, creativity, leadership, powerbi"/>
        <s v="python, communication, testing, time management, problem solving, git, sql"/>
        <s v="communication, mongodb"/>
        <s v="teamwork, creativity, programming"/>
        <s v="critical thinking, pandas, creativity, excel, data visualization, problem solving, sql"/>
        <s v="leadership, teamwork, css, time management"/>
        <s v="typescript, problem solving, teamwork, php, angular"/>
        <s v="adaptability, responsive design, webpack, vue, problem solving, leadership, figma"/>
        <s v="problem solving, adaptability, communication"/>
        <s v="ui/ux, communication, figma"/>
        <s v="problem solving, sass, typescript"/>
        <s v="adaptability, leadership, teamwork, javascript, html, css"/>
        <s v="critical thinking, problem solving, adaptability, agile"/>
        <s v="time management, problem solving, leadership, javascript, html, css, sql"/>
        <s v="monitoring, networking, communication, vmware"/>
        <s v="critical thinking, linux, communication, windows, monitoring, problem solving, vmware"/>
        <s v="critical thinking, linux, windows, security, networking, leadership, powershell"/>
        <s v="digital marketing, critical thinking, adaptability, email marketing, sem, leadership"/>
        <s v="python, api, creativity, problem solving, azure, sql"/>
        <s v="adaptability, time management, data analysis, excel, creativity, powerbi"/>
        <s v="linux, docker, gitlab ci, creativity, leadership, problem solving, azure, monitoring"/>
        <s v="adaptability, docker, time management, react, javascript, html, microservices, css, sql"/>
        <s v="critical thinking, python, javascript, sql"/>
        <s v="numpy, python, pandas, machine learning, teamwork, sql"/>
        <s v="critical thinking, docker, creativity, react, postgresql, mongodb, javascript, html, css, sql"/>
        <s v="web design, adobe creative suite, creativity, photoshop, print design, design"/>
        <s v="numpy, pandas, hadoop, leadership, tensorflow"/>
        <s v="api, kubernetes, java, docker, creativity, sql"/>
        <s v="critical thinking, time management, statistics, problem solving, reporting"/>
        <s v="python, api, java, docker, c#, leadership, teamwork, problem solving, sql"/>
        <s v="html, creativity, webpack, react, teamwork, php, javascript, angular, css"/>
        <s v="adaptability, requirements analysis, excel, business intelligence, tableau, agile, sql"/>
        <s v="adaptability, programming, leadership, git, javascript, sql"/>
        <s v="python, docker, time management, react, javascript, html, microservices, css, sql"/>
        <s v="adaptability, communication, leadership, prototyping, html, design, figma"/>
        <s v="pandas, time management, excel, machine learning, teamwork, sql"/>
        <s v="communication, time management, webpack, typescript, leadership"/>
        <s v="content writing, communication, copywriting, content strategy, time management, creativity, teamwork, wordpress, social media, video editing"/>
        <s v="critical thinking, leadership, ci/cd, performance testing"/>
        <s v="teamwork, gitlab ci, grafana"/>
        <s v="critical thinking, ui/ux, adobe creative suite, problem solving, design"/>
        <s v="leadership, adaptability, time management"/>
        <s v="critical thinking, testing, creativity, api testing, quality assurance, selenium, ci/cd, automation testing"/>
        <s v="adaptability, testing, quality assurance, security testing, ci/cd"/>
        <s v="adobe creative suite, creativity, html, design, figma"/>
        <s v="critical thinking, jira, communication, project management, risk management, agile, pmp"/>
        <s v="api testing, leadership, teamwork, selenium, automation testing, bug tracking"/>
        <s v="adaptability, communication, testing, api testing, quality assurance, ci/cd, automation testing, bug tracking"/>
        <s v="python, adaptability, creativity, tableau, machine learning"/>
        <s v="linux, communication, windows, bash, vmware, networking, monitoring"/>
        <s v="ui/ux, communication, webpack, leadership, teamwork, javascript, html, css"/>
        <s v="selenium, teamwork, manual testing, adaptability"/>
        <s v="graphic design, seo, content writing, communication, teamwork"/>
        <s v="teamwork, creativity, git"/>
        <s v="sem, content marketing, communication, email marketing"/>
        <s v="teamwork, creativity, communication, figma"/>
        <s v="selenium, teamwork, automation testing, performance testing"/>
        <s v="adaptability, java"/>
        <s v="java, mobile, kotlin, problem solving, teamwork, push notifications, app store"/>
        <s v="docker, linux, creativity"/>
        <s v="adaptability, typography, adobe creative suite, color theory, time management, branding, design"/>
        <s v="adobe creative suite, time management, problem solving, prototyping, html, design"/>
        <s v="adaptability, jira, communication, leadership, problem solving, agile, confluence"/>
        <s v="critical thinking, communication, adobe creative suite, leadership, design"/>
        <s v="digital marketing, adaptability, email marketing, creativity, problem solving, social media"/>
        <s v="critical thinking, time management, creativity, typescript, javascript, html, css"/>
        <s v="python, statistics, tableau, problem solving, sql"/>
        <s v="python, api, java, teamwork, aws, sql"/>
        <s v="python, time management, sql, programming"/>
        <s v="critical thinking, linux, communication, kubernetes, docker, time management"/>
        <s v="adobe creative suite, time management, problem solving, leadership, design"/>
        <s v="python, api, time management, microservices, aws, sql"/>
        <s v="critical thinking, communication, teamwork, prototyping, sketch, figma"/>
        <s v="testing, performance testing, problem solving, quality assurance, ci/cd"/>
        <s v="content writing, communication, content strategy, leadership, wordpress, video editing"/>
        <s v="python, time management, data analysis, excel, leadership, r"/>
        <s v="time management, css"/>
        <s v="adaptability, data analysis, excel, problem solving, r, sql"/>
        <s v="critical thinking, python, adaptability, communication, devops, nodejs, postgresql"/>
        <s v="graphic design, seo, communication, copywriting, creativity, wordpress"/>
        <s v="leadership, sass"/>
        <s v="html, problem solving, php, javascript, css, sass, nodejs, postgresql"/>
        <s v="leadership, requirements analysis, excel, sql"/>
        <s v="critical thinking, machine learning, teamwork, data visualization"/>
        <s v="python, adaptability, time management, data analysis, excel"/>
        <s v="leadership, jira, communication"/>
        <s v="digital marketing, seo, conversion optimization, sem, time management, teamwork, social media, google ads"/>
        <s v="critical thinking, testing, problem solving, leadership, manual testing, quality assurance, selenium, bug tracking"/>
        <s v="python, java, programming, leadership, c++"/>
        <s v="critical thinking, python, api, communication, java, docker, c#, sql"/>
        <s v="content strategy, time management, creativity, problem solving, wordpress"/>
        <s v="indesign, illustrator, adobe creative suite, time management, problem solving, teamwork, design"/>
        <s v="critical thinking, python, time management, creativity, excel, r, sql"/>
        <s v="communication, react, teamwork, javascript, html, css, aws, sql"/>
        <s v="docker, programming, problem solving, agile, javascript"/>
        <s v="time management, adaptability"/>
        <s v="adaptability, react"/>
        <s v="leadership"/>
        <s v="communication, mongodb, aws"/>
        <s v="critical thinking, problem solving, communication"/>
        <s v="time management, jenkins, azure, terraform, aws"/>
        <s v="critical thinking, adaptability, docker, react, problem solving, mongodb, javascript, html, css, nodejs, sql"/>
        <s v="critical thinking, statistics, data analysis, excel, tableau, problem solving, powerbi, sql"/>
        <s v="r, problem solving, creativity, process modeling"/>
        <s v="seo, content writing, communication, content strategy, time management, wordpress, social media"/>
        <s v="api, time management, creativity, php, sql"/>
        <s v="testing, time management, creativity, leadership, quality assurance, ci/cd"/>
        <s v="adaptability, azure, terraform, aws"/>
        <s v="communication, time management, a/b testing, user research, analytics, product management, wireframing"/>
        <s v="adobe creative suite, design, color theory, problem solving"/>
        <s v="critical thinking, adaptability, copywriting, social media, video editing"/>
        <s v="ui/ux, adaptability, problem solving, leadership, figma"/>
        <s v="ui/ux, adaptability, adobe creative suite, creativity, prototyping, design, sketch"/>
        <s v="critical thinking, mobile, problem solving, flutter, app store"/>
        <s v="video editing, content writing, leadership, communication"/>
        <s v="critical thinking, docker, c#, teamwork, azure, php"/>
        <s v="react, vue, problem solving, javascript, html, angular, css, figma"/>
        <s v="critical thinking, time management, react, teamwork, php, sass, postgresql"/>
        <s v="critical thinking, ui/ux, creativity, responsive design, vue, leadership, angular"/>
        <s v="python, time management, excel, powerbi, r, sql"/>
        <s v="adaptability, typescript, problem solving, teamwork, javascript, html, css, nodejs, postgresql"/>
        <s v="critical thinking, kubernetes, time management, grafana, terraform"/>
        <s v="critical thinking, python, tensorflow, sql"/>
        <s v="digital marketing, critical thinking, communication, sem, analytics, teamwork, content marketing"/>
        <s v="critical thinking, adobe creative suite, user research, problem solving, sketch, figma"/>
        <s v="adaptability, communication, bash, creativity, networking, powershell"/>
        <s v="python, adaptability, azure, php"/>
        <s v="numpy, python, adaptability, critical thinking, deep learning, sql"/>
        <s v="critical thinking, jira, communication, project management, stakeholder management"/>
        <s v="communication, roadmap planning, creativity, user research, analytics, leadership, teamwork, product management"/>
        <s v="linux, docker, grafana, problem solving, leadership, prometheus"/>
        <s v="kotlin, problem solving"/>
        <s v="graphic design, content writing, adaptability, communication, content strategy, creativity, teamwork, wordpress"/>
        <s v="critical thinking, python, communication, programming, agile"/>
        <s v="communication, roadmap planning, time management, a/b testing, user research, analytics, leadership, product management, wireframing"/>
        <s v="creativity, excel, tableau, agile, powerbi, sql"/>
        <s v="critical thinking, adaptability, go, leadership, azure, php, nodejs"/>
        <s v="content writing, adaptability, communication, creativity, analytics, problem solving, wordpress"/>
        <s v="ui/ux, communication, adobe creative suite, time management, user research, design, sketch, figma"/>
        <s v="communication, roadmap planning, creativity, analytics, problem solving"/>
        <s v="adaptability, communication, testing, quality assurance, security testing, automation testing"/>
        <s v="risk management, communication, project management"/>
        <s v="critical thinking, creativity, excel, teamwork, process modeling, sql"/>
        <s v="ui/ux, time management, creativity, leadership, prototyping, design, sketch"/>
        <s v="react native, communication, mobile, time management, google play, kotlin, problem solving, flutter, app store"/>
        <s v="critical thinking, sketch, communication"/>
        <s v="creativity, testing, programming"/>
        <s v="critical thinking, jira, communication, project management, pmp"/>
        <s v="critical thinking, adaptability, adobe creative suite, time management, design"/>
        <s v="critical thinking, linux, docker, creativity, ansible, problem solving, terraform, prometheus"/>
        <s v="critical thinking, ui/ux, creativity, teamwork, angular, figma"/>
        <s v="critical thinking, programming"/>
        <s v="critical thinking, creativity, business intelligence, powerbi, r, process modeling"/>
        <s v="leadership, javascript, java"/>
        <s v="linux, kubernetes, docker, problem solving, terraform, prometheus"/>
        <s v="linux, adaptability, communication, kubernetes, docker, jenkins, problem solving, azure, terraform"/>
        <s v="leadership, product management, communication, wireframing"/>
        <s v="adaptability, azure, ansible"/>
        <s v="ui/ux, adaptability, communication, creativity, react, javascript, html, css"/>
        <s v="critical thinking, python, pandas, leadership, problem solving, tensorflow, pytorch, sql"/>
        <s v="adaptability, linux, docker, problem solving, teamwork"/>
        <s v="adaptability, indesign, communication, adobe creative suite, photoshop, teamwork, design"/>
        <s v="api, docker, creativity, leadership, problem solving, aws, sql"/>
        <s v="adobe creative suite, design, critical thinking, communication"/>
        <s v="time management, quality assurance, testing, bug tracking"/>
        <s v="critical thinking, time management, creativity, webpack, php, sass"/>
        <s v="linux, adaptability, kubernetes, docker, gitlab ci, grafana, ansible, aws"/>
      </sharedItems>
    </cacheField>
    <cacheField name="experience_description" numFmtId="0">
      <sharedItems/>
    </cacheField>
    <cacheField name="position_applied" numFmtId="0">
      <sharedItems count="21">
        <s v="fullstack_developer"/>
        <s v="designer"/>
        <s v="business_analyst"/>
        <s v="software_developer"/>
        <s v="project_manager"/>
        <s v="data_scientist"/>
        <s v="frontend_developer"/>
        <s v="devops_engineer"/>
        <s v="graphic_designer"/>
        <s v="developer"/>
        <s v="data_analyst"/>
        <s v="backend_developer"/>
        <s v="analyst"/>
        <s v="web_developer"/>
        <s v="product_manager"/>
        <s v="ui_ux_designer"/>
        <s v="system_administrator"/>
        <s v="content_creator"/>
        <s v="digital_marketer"/>
        <s v="mobile_developer"/>
        <s v="qa_engineer"/>
      </sharedItems>
    </cacheField>
    <cacheField name="suitable" numFmtId="0">
      <sharedItems containsSemiMixedTypes="0" containsString="0" containsNumber="1" containsInteger="1" minValue="0" maxValue="1"/>
    </cacheField>
    <cacheField name="candidate_count" numFmtId="0">
      <sharedItems containsSemiMixedTypes="0" containsString="0" containsNumber="1" containsInteger="1" minValue="2" maxValue="11" count="8">
        <n v="4"/>
        <n v="5"/>
        <n v="8"/>
        <n v="7"/>
        <n v="3"/>
        <n v="2"/>
        <n v="11"/>
        <n v="6"/>
      </sharedItems>
    </cacheField>
    <cacheField name="suitable_rate" numFmtId="9">
      <sharedItems containsSemiMixedTypes="0" containsString="0" containsNumber="1" minValue="0.25" maxValue="1"/>
    </cacheField>
  </cacheFields>
  <extLst>
    <ext xmlns:x14="http://schemas.microsoft.com/office/spreadsheetml/2009/9/main" uri="{725AE2AE-9491-48be-B2B4-4EB974FC3084}">
      <x14:pivotCacheDefinition pivotCacheId="9508056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CAND_0001"/>
    <x v="0"/>
    <x v="0"/>
    <x v="0"/>
    <s v="Experienced fullstack developer with 2 years working with adaptability, communication, problem solving"/>
    <x v="0"/>
    <n v="0"/>
    <x v="0"/>
    <n v="0.5"/>
  </r>
  <r>
    <s v="CAND_0002"/>
    <x v="1"/>
    <x v="1"/>
    <x v="1"/>
    <s v="Experienced designer with 9 years working with critical thinking, communication, teamwork"/>
    <x v="1"/>
    <n v="1"/>
    <x v="1"/>
    <n v="0.6"/>
  </r>
  <r>
    <s v="CAND_0003"/>
    <x v="2"/>
    <x v="1"/>
    <x v="2"/>
    <s v="Experienced business analyst with 0 years working with adaptability, communication, excel"/>
    <x v="2"/>
    <n v="1"/>
    <x v="2"/>
    <n v="0.5"/>
  </r>
  <r>
    <s v="CAND_0004"/>
    <x v="0"/>
    <x v="2"/>
    <x v="3"/>
    <s v="Experienced software developer with 2 years working with python, communication, docker"/>
    <x v="3"/>
    <n v="1"/>
    <x v="3"/>
    <n v="0.7142857142857143"/>
  </r>
  <r>
    <s v="CAND_0005"/>
    <x v="3"/>
    <x v="2"/>
    <x v="4"/>
    <s v="Experienced project manager with 8 years working with project management, risk management, stakeholder management"/>
    <x v="4"/>
    <n v="1"/>
    <x v="2"/>
    <n v="0.875"/>
  </r>
  <r>
    <s v="CAND_0006"/>
    <x v="1"/>
    <x v="0"/>
    <x v="5"/>
    <s v="Experienced data scientist with 9 years working with numpy, python, critical thinking"/>
    <x v="5"/>
    <n v="1"/>
    <x v="0"/>
    <n v="0.5"/>
  </r>
  <r>
    <s v="CAND_0007"/>
    <x v="4"/>
    <x v="0"/>
    <x v="6"/>
    <s v="Experienced frontend developer with 1 years working with critical thinking, time management, responsive design"/>
    <x v="6"/>
    <n v="1"/>
    <x v="2"/>
    <n v="0.625"/>
  </r>
  <r>
    <s v="CAND_0008"/>
    <x v="5"/>
    <x v="3"/>
    <x v="7"/>
    <s v="Experienced devops engineer with 5 years working with linux, communication, kubernetes"/>
    <x v="7"/>
    <n v="1"/>
    <x v="0"/>
    <n v="1"/>
  </r>
  <r>
    <s v="CAND_0009"/>
    <x v="5"/>
    <x v="2"/>
    <x v="8"/>
    <s v="Experienced graphic designer with 5 years working with indesign, web design, illustrator"/>
    <x v="8"/>
    <n v="0"/>
    <x v="4"/>
    <n v="0.66666666666666663"/>
  </r>
  <r>
    <s v="CAND_0010"/>
    <x v="6"/>
    <x v="0"/>
    <x v="9"/>
    <s v="Experienced developer with 3 years working with problem solving, git, agile"/>
    <x v="9"/>
    <n v="1"/>
    <x v="5"/>
    <n v="0.5"/>
  </r>
  <r>
    <s v="CAND_0011"/>
    <x v="2"/>
    <x v="3"/>
    <x v="10"/>
    <s v="Experienced data analyst with 0 years working with time management, statistics, data visualization"/>
    <x v="10"/>
    <n v="0"/>
    <x v="6"/>
    <n v="0.63636363636363635"/>
  </r>
  <r>
    <s v="CAND_0012"/>
    <x v="7"/>
    <x v="0"/>
    <x v="11"/>
    <s v="Experienced backend developer with 4 years working with api, communication, docker"/>
    <x v="11"/>
    <n v="1"/>
    <x v="5"/>
    <n v="1"/>
  </r>
  <r>
    <s v="CAND_0013"/>
    <x v="2"/>
    <x v="0"/>
    <x v="12"/>
    <s v="Experienced analyst with 0 years working with statistics, data analysis, excel"/>
    <x v="12"/>
    <n v="1"/>
    <x v="7"/>
    <n v="0.5"/>
  </r>
  <r>
    <s v="CAND_0014"/>
    <x v="2"/>
    <x v="2"/>
    <x v="13"/>
    <s v="Experienced project manager with 0 years working with leadership, communication, project management"/>
    <x v="4"/>
    <n v="1"/>
    <x v="2"/>
    <n v="0.875"/>
  </r>
  <r>
    <s v="CAND_0015"/>
    <x v="0"/>
    <x v="2"/>
    <x v="14"/>
    <s v="Experienced data scientist with 2 years working with critical thinking, adaptability, statistics"/>
    <x v="5"/>
    <n v="0"/>
    <x v="0"/>
    <n v="0.5"/>
  </r>
  <r>
    <s v="CAND_0016"/>
    <x v="2"/>
    <x v="1"/>
    <x v="15"/>
    <s v="Experienced web developer with 0 years working with html, communication, time management"/>
    <x v="13"/>
    <n v="1"/>
    <x v="0"/>
    <n v="0.5"/>
  </r>
  <r>
    <s v="CAND_0017"/>
    <x v="4"/>
    <x v="2"/>
    <x v="16"/>
    <s v="Experienced data analyst with 1 years working with problem solving, machine learning, data visualization"/>
    <x v="10"/>
    <n v="0"/>
    <x v="6"/>
    <n v="0.63636363636363635"/>
  </r>
  <r>
    <s v="CAND_0018"/>
    <x v="2"/>
    <x v="2"/>
    <x v="17"/>
    <s v="Experienced designer with 0 years working with design, teamwork"/>
    <x v="1"/>
    <n v="1"/>
    <x v="1"/>
    <n v="0.6"/>
  </r>
  <r>
    <s v="CAND_0019"/>
    <x v="1"/>
    <x v="4"/>
    <x v="18"/>
    <s v="Experienced business analyst with 9 years working with python, communication, time management"/>
    <x v="2"/>
    <n v="0"/>
    <x v="2"/>
    <n v="0.5"/>
  </r>
  <r>
    <s v="CAND_0020"/>
    <x v="8"/>
    <x v="1"/>
    <x v="19"/>
    <s v="Experienced software developer with 7 years working with teamwork, c++, programming"/>
    <x v="3"/>
    <n v="1"/>
    <x v="3"/>
    <n v="0.7142857142857143"/>
  </r>
  <r>
    <s v="CAND_0021"/>
    <x v="8"/>
    <x v="0"/>
    <x v="20"/>
    <s v="Experienced data analyst with 7 years working with critical thinking, python, pandas"/>
    <x v="10"/>
    <n v="1"/>
    <x v="6"/>
    <n v="0.63636363636363635"/>
  </r>
  <r>
    <s v="CAND_0022"/>
    <x v="2"/>
    <x v="2"/>
    <x v="21"/>
    <s v="Experienced software developer with 0 years working with critical thinking, python, testing"/>
    <x v="3"/>
    <n v="0"/>
    <x v="3"/>
    <n v="0.7142857142857143"/>
  </r>
  <r>
    <s v="CAND_0023"/>
    <x v="8"/>
    <x v="3"/>
    <x v="22"/>
    <s v="Experienced frontend developer with 7 years working with teamwork, webpack, typescript"/>
    <x v="6"/>
    <n v="0"/>
    <x v="2"/>
    <n v="0.625"/>
  </r>
  <r>
    <s v="CAND_0024"/>
    <x v="8"/>
    <x v="0"/>
    <x v="23"/>
    <s v="Experienced frontend developer with 7 years working with critical thinking, responsive design, react"/>
    <x v="6"/>
    <n v="1"/>
    <x v="2"/>
    <n v="0.625"/>
  </r>
  <r>
    <s v="CAND_0025"/>
    <x v="2"/>
    <x v="1"/>
    <x v="24"/>
    <s v="Experienced project manager with 0 years working with adaptability, jira, project management"/>
    <x v="4"/>
    <n v="1"/>
    <x v="2"/>
    <n v="0.875"/>
  </r>
  <r>
    <s v="CAND_0026"/>
    <x v="6"/>
    <x v="0"/>
    <x v="25"/>
    <s v="Experienced product manager with 3 years working with adaptability, roadmap planning, creativity"/>
    <x v="14"/>
    <n v="0"/>
    <x v="0"/>
    <n v="0.25"/>
  </r>
  <r>
    <s v="CAND_0027"/>
    <x v="0"/>
    <x v="1"/>
    <x v="26"/>
    <s v="Experienced ui ux designer with 2 years working with critical thinking, ui/ux, adaptability"/>
    <x v="15"/>
    <n v="1"/>
    <x v="5"/>
    <n v="1"/>
  </r>
  <r>
    <s v="CAND_0028"/>
    <x v="4"/>
    <x v="2"/>
    <x v="27"/>
    <s v="Experienced graphic designer with 1 years working with critical thinking, adaptability, adobe creative suite"/>
    <x v="8"/>
    <n v="1"/>
    <x v="4"/>
    <n v="0.66666666666666663"/>
  </r>
  <r>
    <s v="CAND_0029"/>
    <x v="8"/>
    <x v="1"/>
    <x v="28"/>
    <s v="Experienced frontend developer with 7 years working with angular, teamwork, responsive design"/>
    <x v="6"/>
    <n v="0"/>
    <x v="2"/>
    <n v="0.625"/>
  </r>
  <r>
    <s v="CAND_0030"/>
    <x v="8"/>
    <x v="2"/>
    <x v="29"/>
    <s v="Experienced analyst with 7 years working with creativity, reporting, sql"/>
    <x v="12"/>
    <n v="0"/>
    <x v="7"/>
    <n v="0.5"/>
  </r>
  <r>
    <s v="CAND_0031"/>
    <x v="9"/>
    <x v="4"/>
    <x v="30"/>
    <s v="Experienced fullstack developer with 12 years working with critical thinking, adaptability, problem solving"/>
    <x v="0"/>
    <n v="1"/>
    <x v="0"/>
    <n v="0.5"/>
  </r>
  <r>
    <s v="CAND_0032"/>
    <x v="3"/>
    <x v="4"/>
    <x v="31"/>
    <s v="Experienced backend developer with 8 years working with api, java, docker"/>
    <x v="11"/>
    <n v="1"/>
    <x v="5"/>
    <n v="1"/>
  </r>
  <r>
    <s v="CAND_0033"/>
    <x v="4"/>
    <x v="0"/>
    <x v="32"/>
    <s v="Experienced analyst with 1 years working with statistics, data analysis, excel"/>
    <x v="12"/>
    <n v="1"/>
    <x v="7"/>
    <n v="0.5"/>
  </r>
  <r>
    <s v="CAND_0034"/>
    <x v="10"/>
    <x v="2"/>
    <x v="33"/>
    <s v="Experienced data scientist with 10 years working with numpy, python, adaptability"/>
    <x v="5"/>
    <n v="1"/>
    <x v="0"/>
    <n v="0.5"/>
  </r>
  <r>
    <s v="CAND_0035"/>
    <x v="1"/>
    <x v="4"/>
    <x v="34"/>
    <s v="Experienced business analyst with 9 years working with critical thinking, creativity, excel"/>
    <x v="2"/>
    <n v="1"/>
    <x v="2"/>
    <n v="0.5"/>
  </r>
  <r>
    <s v="CAND_0036"/>
    <x v="2"/>
    <x v="4"/>
    <x v="35"/>
    <s v="Experienced project manager with 0 years working with project management, creativity, problem solving"/>
    <x v="4"/>
    <n v="1"/>
    <x v="2"/>
    <n v="0.875"/>
  </r>
  <r>
    <s v="CAND_0037"/>
    <x v="7"/>
    <x v="1"/>
    <x v="36"/>
    <s v="Experienced project manager with 4 years working with adaptability, jira, time management"/>
    <x v="4"/>
    <n v="0"/>
    <x v="2"/>
    <n v="0.875"/>
  </r>
  <r>
    <s v="CAND_0038"/>
    <x v="1"/>
    <x v="0"/>
    <x v="37"/>
    <s v="Experienced system administrator with 9 years working with adaptability, leadership, teamwork"/>
    <x v="16"/>
    <n v="0"/>
    <x v="1"/>
    <n v="0.4"/>
  </r>
  <r>
    <s v="CAND_0039"/>
    <x v="5"/>
    <x v="1"/>
    <x v="38"/>
    <s v="Experienced business analyst with 5 years working with creativity, tableau, problem solving"/>
    <x v="2"/>
    <n v="0"/>
    <x v="2"/>
    <n v="0.5"/>
  </r>
  <r>
    <s v="CAND_0040"/>
    <x v="11"/>
    <x v="4"/>
    <x v="39"/>
    <s v="Experienced software developer with 11 years working with communication, time management, c#"/>
    <x v="3"/>
    <n v="1"/>
    <x v="3"/>
    <n v="0.7142857142857143"/>
  </r>
  <r>
    <s v="CAND_0041"/>
    <x v="4"/>
    <x v="2"/>
    <x v="40"/>
    <s v="Experienced analyst with 1 years working with critical thinking, leadership, problem solving"/>
    <x v="12"/>
    <n v="0"/>
    <x v="7"/>
    <n v="0.5"/>
  </r>
  <r>
    <s v="CAND_0042"/>
    <x v="2"/>
    <x v="1"/>
    <x v="41"/>
    <s v="Experienced devops engineer with 0 years working with linux, docker, ansible"/>
    <x v="7"/>
    <n v="1"/>
    <x v="0"/>
    <n v="1"/>
  </r>
  <r>
    <s v="CAND_0043"/>
    <x v="8"/>
    <x v="2"/>
    <x v="42"/>
    <s v="Experienced project manager with 7 years working with adaptability, communication, project management"/>
    <x v="4"/>
    <n v="1"/>
    <x v="2"/>
    <n v="0.875"/>
  </r>
  <r>
    <s v="CAND_0044"/>
    <x v="7"/>
    <x v="3"/>
    <x v="43"/>
    <s v="Experienced designer with 4 years working with critical thinking, ui/ux, time management"/>
    <x v="1"/>
    <n v="1"/>
    <x v="1"/>
    <n v="0.6"/>
  </r>
  <r>
    <s v="CAND_0045"/>
    <x v="2"/>
    <x v="3"/>
    <x v="44"/>
    <s v="Experienced system administrator with 0 years working with critical thinking, linux, communication"/>
    <x v="16"/>
    <n v="1"/>
    <x v="1"/>
    <n v="0.4"/>
  </r>
  <r>
    <s v="CAND_0046"/>
    <x v="4"/>
    <x v="0"/>
    <x v="45"/>
    <s v="Experienced data analyst with 1 years working with python, communication, excel"/>
    <x v="10"/>
    <n v="1"/>
    <x v="6"/>
    <n v="0.63636363636363635"/>
  </r>
  <r>
    <s v="CAND_0047"/>
    <x v="8"/>
    <x v="3"/>
    <x v="46"/>
    <s v="Experienced frontend developer with 7 years working with adaptability, react, creativity"/>
    <x v="6"/>
    <n v="0"/>
    <x v="2"/>
    <n v="0.625"/>
  </r>
  <r>
    <s v="CAND_0048"/>
    <x v="3"/>
    <x v="3"/>
    <x v="47"/>
    <s v="Experienced data analyst with 8 years working with pandas, time management, excel"/>
    <x v="10"/>
    <n v="1"/>
    <x v="6"/>
    <n v="0.63636363636363635"/>
  </r>
  <r>
    <s v="CAND_0049"/>
    <x v="12"/>
    <x v="2"/>
    <x v="48"/>
    <s v="Experienced designer with 6 years working with adaptability, communication, adobe creative suite"/>
    <x v="1"/>
    <n v="0"/>
    <x v="1"/>
    <n v="0.6"/>
  </r>
  <r>
    <s v="CAND_0050"/>
    <x v="7"/>
    <x v="3"/>
    <x v="49"/>
    <s v="Experienced data analyst with 4 years working with communication, statistics, excel"/>
    <x v="10"/>
    <n v="1"/>
    <x v="6"/>
    <n v="0.63636363636363635"/>
  </r>
  <r>
    <s v="CAND_0051"/>
    <x v="0"/>
    <x v="2"/>
    <x v="50"/>
    <s v="Experienced web developer with 2 years working with html, adaptability, mongodb"/>
    <x v="13"/>
    <n v="1"/>
    <x v="0"/>
    <n v="0.5"/>
  </r>
  <r>
    <s v="CAND_0052"/>
    <x v="2"/>
    <x v="4"/>
    <x v="51"/>
    <s v="Experienced devops engineer with 0 years working with linux, docker, problem solving"/>
    <x v="7"/>
    <n v="1"/>
    <x v="0"/>
    <n v="1"/>
  </r>
  <r>
    <s v="CAND_0053"/>
    <x v="4"/>
    <x v="0"/>
    <x v="52"/>
    <s v="Experienced system administrator with 1 years working with linux, windows, bash"/>
    <x v="16"/>
    <n v="1"/>
    <x v="1"/>
    <n v="0.4"/>
  </r>
  <r>
    <s v="CAND_0054"/>
    <x v="10"/>
    <x v="2"/>
    <x v="53"/>
    <s v="Experienced analyst with 10 years working with python, time management, data analysis"/>
    <x v="12"/>
    <n v="1"/>
    <x v="7"/>
    <n v="0.5"/>
  </r>
  <r>
    <s v="CAND_0055"/>
    <x v="5"/>
    <x v="0"/>
    <x v="54"/>
    <s v="Experienced content creator with 5 years working with content writing, communication, content strategy"/>
    <x v="17"/>
    <n v="1"/>
    <x v="4"/>
    <n v="1"/>
  </r>
  <r>
    <s v="CAND_0056"/>
    <x v="2"/>
    <x v="3"/>
    <x v="55"/>
    <s v="Experienced web developer with 0 years working with communication, teamwork, mongodb"/>
    <x v="13"/>
    <n v="0"/>
    <x v="0"/>
    <n v="0.5"/>
  </r>
  <r>
    <s v="CAND_0057"/>
    <x v="5"/>
    <x v="2"/>
    <x v="56"/>
    <s v="Experienced software developer with 5 years working with python, communication, time management"/>
    <x v="3"/>
    <n v="0"/>
    <x v="3"/>
    <n v="0.7142857142857143"/>
  </r>
  <r>
    <s v="CAND_0058"/>
    <x v="0"/>
    <x v="3"/>
    <x v="57"/>
    <s v="Experienced graphic designer with 2 years working with critical thinking, illustrator, indesign"/>
    <x v="8"/>
    <n v="1"/>
    <x v="4"/>
    <n v="0.66666666666666663"/>
  </r>
  <r>
    <s v="CAND_0059"/>
    <x v="4"/>
    <x v="0"/>
    <x v="58"/>
    <s v="Experienced digital marketer with 1 years working with digital marketing, communication, email marketing"/>
    <x v="18"/>
    <n v="1"/>
    <x v="4"/>
    <n v="1"/>
  </r>
  <r>
    <s v="CAND_0060"/>
    <x v="1"/>
    <x v="1"/>
    <x v="59"/>
    <s v="Experienced mobile developer with 9 years working with swift, java, time management"/>
    <x v="19"/>
    <n v="0"/>
    <x v="4"/>
    <n v="0.33333333333333331"/>
  </r>
  <r>
    <s v="CAND_0061"/>
    <x v="8"/>
    <x v="3"/>
    <x v="60"/>
    <s v="Experienced fullstack developer with 7 years working with creativity, react, postgresql"/>
    <x v="0"/>
    <n v="1"/>
    <x v="0"/>
    <n v="0.5"/>
  </r>
  <r>
    <s v="CAND_0062"/>
    <x v="0"/>
    <x v="1"/>
    <x v="61"/>
    <s v="Experienced software developer with 2 years working with critical thinking, python, java"/>
    <x v="3"/>
    <n v="1"/>
    <x v="3"/>
    <n v="0.7142857142857143"/>
  </r>
  <r>
    <s v="CAND_0063"/>
    <x v="4"/>
    <x v="4"/>
    <x v="62"/>
    <s v="Experienced qa engineer with 1 years working with critical thinking, adaptability, testing"/>
    <x v="20"/>
    <n v="1"/>
    <x v="4"/>
    <n v="0.66666666666666663"/>
  </r>
  <r>
    <s v="CAND_0064"/>
    <x v="4"/>
    <x v="3"/>
    <x v="63"/>
    <s v="Experienced qa engineer with 1 years working with testing, creativity, leadership"/>
    <x v="20"/>
    <n v="1"/>
    <x v="4"/>
    <n v="0.66666666666666663"/>
  </r>
  <r>
    <s v="CAND_0065"/>
    <x v="4"/>
    <x v="0"/>
    <x v="64"/>
    <s v="Experienced data analyst with 1 years working with python, time management, data visualization"/>
    <x v="10"/>
    <n v="0"/>
    <x v="6"/>
    <n v="0.63636363636363635"/>
  </r>
  <r>
    <s v="CAND_0066"/>
    <x v="6"/>
    <x v="4"/>
    <x v="65"/>
    <s v="Experienced web developer with 3 years working with problem solving, typescript"/>
    <x v="13"/>
    <n v="0"/>
    <x v="0"/>
    <n v="0.5"/>
  </r>
  <r>
    <s v="CAND_0067"/>
    <x v="4"/>
    <x v="2"/>
    <x v="66"/>
    <s v="Experienced business analyst with 1 years working with critical thinking, time management, excel"/>
    <x v="2"/>
    <n v="1"/>
    <x v="2"/>
    <n v="0.5"/>
  </r>
  <r>
    <s v="CAND_0068"/>
    <x v="7"/>
    <x v="4"/>
    <x v="67"/>
    <s v="Experienced mobile developer with 4 years working with mobile, time management, app store"/>
    <x v="19"/>
    <n v="1"/>
    <x v="4"/>
    <n v="0.33333333333333331"/>
  </r>
  <r>
    <s v="CAND_0069"/>
    <x v="10"/>
    <x v="1"/>
    <x v="68"/>
    <s v="Experienced ui ux designer with 10 years working with ui/ux, problem solving, prototyping"/>
    <x v="15"/>
    <n v="1"/>
    <x v="5"/>
    <n v="1"/>
  </r>
  <r>
    <s v="CAND_0070"/>
    <x v="12"/>
    <x v="0"/>
    <x v="69"/>
    <s v="Experienced digital marketer with 6 years working with digital marketing, communication"/>
    <x v="18"/>
    <n v="1"/>
    <x v="4"/>
    <n v="1"/>
  </r>
  <r>
    <s v="CAND_0071"/>
    <x v="10"/>
    <x v="2"/>
    <x v="70"/>
    <s v="Experienced frontend developer with 10 years working with adaptability, react, vue"/>
    <x v="6"/>
    <n v="1"/>
    <x v="2"/>
    <n v="0.625"/>
  </r>
  <r>
    <s v="CAND_0072"/>
    <x v="1"/>
    <x v="0"/>
    <x v="71"/>
    <s v="Experienced system administrator with 9 years working with time management, monitoring, leadership"/>
    <x v="16"/>
    <n v="0"/>
    <x v="1"/>
    <n v="0.4"/>
  </r>
  <r>
    <s v="CAND_0073"/>
    <x v="10"/>
    <x v="0"/>
    <x v="72"/>
    <s v="Experienced product manager with 10 years working with creativity, technical skills"/>
    <x v="14"/>
    <n v="0"/>
    <x v="0"/>
    <n v="0.25"/>
  </r>
  <r>
    <s v="CAND_0074"/>
    <x v="8"/>
    <x v="3"/>
    <x v="73"/>
    <s v="Experienced content creator with 7 years working with graphic design, content writing, communication"/>
    <x v="17"/>
    <n v="1"/>
    <x v="4"/>
    <n v="1"/>
  </r>
  <r>
    <s v="CAND_0075"/>
    <x v="4"/>
    <x v="0"/>
    <x v="74"/>
    <s v="Experienced developer with 1 years working with communication, testing, creativity"/>
    <x v="9"/>
    <n v="0"/>
    <x v="5"/>
    <n v="0.5"/>
  </r>
  <r>
    <s v="CAND_0076"/>
    <x v="3"/>
    <x v="3"/>
    <x v="75"/>
    <s v="Experienced product manager with 8 years working with adaptability, time management, a/b testing"/>
    <x v="14"/>
    <n v="0"/>
    <x v="0"/>
    <n v="0.25"/>
  </r>
  <r>
    <s v="CAND_0077"/>
    <x v="7"/>
    <x v="1"/>
    <x v="76"/>
    <s v="Experienced business analyst with 4 years working with problem solving, leadership"/>
    <x v="2"/>
    <n v="0"/>
    <x v="2"/>
    <n v="0.5"/>
  </r>
  <r>
    <s v="CAND_0078"/>
    <x v="3"/>
    <x v="4"/>
    <x v="77"/>
    <s v="Experienced business analyst with 8 years working with creativity, excel, business intelligence"/>
    <x v="2"/>
    <n v="1"/>
    <x v="2"/>
    <n v="0.5"/>
  </r>
  <r>
    <s v="CAND_0079"/>
    <x v="2"/>
    <x v="2"/>
    <x v="78"/>
    <s v="Experienced frontend developer with 0 years working with adaptability, communication, responsive design"/>
    <x v="6"/>
    <n v="1"/>
    <x v="2"/>
    <n v="0.625"/>
  </r>
  <r>
    <s v="CAND_0080"/>
    <x v="11"/>
    <x v="4"/>
    <x v="79"/>
    <s v="Experienced devops engineer with 11 years working with linux, docker, time management"/>
    <x v="7"/>
    <n v="1"/>
    <x v="0"/>
    <n v="1"/>
  </r>
  <r>
    <s v="CAND_0081"/>
    <x v="5"/>
    <x v="1"/>
    <x v="80"/>
    <s v="Experienced product manager with 5 years working with communication, user research, analytics"/>
    <x v="14"/>
    <n v="1"/>
    <x v="0"/>
    <n v="0.25"/>
  </r>
  <r>
    <s v="CAND_0082"/>
    <x v="2"/>
    <x v="3"/>
    <x v="81"/>
    <s v="Experienced data analyst with 0 years working with python, pandas, statistics"/>
    <x v="10"/>
    <n v="1"/>
    <x v="6"/>
    <n v="0.63636363636363635"/>
  </r>
  <r>
    <s v="CAND_0083"/>
    <x v="4"/>
    <x v="1"/>
    <x v="82"/>
    <s v="Experienced frontend developer with 1 years working with critical thinking, teamwork, javascript"/>
    <x v="6"/>
    <n v="1"/>
    <x v="2"/>
    <n v="0.625"/>
  </r>
  <r>
    <s v="CAND_0084"/>
    <x v="1"/>
    <x v="1"/>
    <x v="83"/>
    <s v="Experienced mobile developer with 9 years working with critical thinking, react native, communication"/>
    <x v="19"/>
    <n v="0"/>
    <x v="4"/>
    <n v="0.33333333333333331"/>
  </r>
  <r>
    <s v="CAND_0085"/>
    <x v="12"/>
    <x v="4"/>
    <x v="84"/>
    <s v="Experienced fullstack developer with 6 years working with creativity"/>
    <x v="0"/>
    <n v="0"/>
    <x v="0"/>
    <n v="0.5"/>
  </r>
  <r>
    <s v="CAND_0086"/>
    <x v="3"/>
    <x v="4"/>
    <x v="85"/>
    <s v="Experienced project manager with 8 years working with critical thinking, adaptability, agile"/>
    <x v="4"/>
    <n v="1"/>
    <x v="2"/>
    <n v="0.875"/>
  </r>
  <r>
    <s v="CAND_0087"/>
    <x v="1"/>
    <x v="0"/>
    <x v="86"/>
    <s v="Experienced data scientist with 9 years working with statistics, communication"/>
    <x v="5"/>
    <n v="0"/>
    <x v="0"/>
    <n v="0.5"/>
  </r>
  <r>
    <s v="CAND_0088"/>
    <x v="7"/>
    <x v="3"/>
    <x v="87"/>
    <s v="Experienced data analyst with 4 years working with time management, creativity, excel"/>
    <x v="10"/>
    <n v="1"/>
    <x v="6"/>
    <n v="0.63636363636363635"/>
  </r>
  <r>
    <s v="CAND_0089"/>
    <x v="7"/>
    <x v="0"/>
    <x v="88"/>
    <s v="Experienced content creator with 4 years working with critical thinking, content writing, communication"/>
    <x v="17"/>
    <n v="1"/>
    <x v="4"/>
    <n v="1"/>
  </r>
  <r>
    <s v="CAND_0090"/>
    <x v="10"/>
    <x v="3"/>
    <x v="89"/>
    <s v="Experienced project manager with 10 years working with critical thinking, communication, project management"/>
    <x v="4"/>
    <n v="1"/>
    <x v="2"/>
    <n v="0.875"/>
  </r>
  <r>
    <s v="CAND_0091"/>
    <x v="7"/>
    <x v="2"/>
    <x v="90"/>
    <s v="Experienced digital marketer with 4 years working with digital marketing, seo, time management"/>
    <x v="18"/>
    <n v="1"/>
    <x v="4"/>
    <n v="1"/>
  </r>
  <r>
    <s v="CAND_0092"/>
    <x v="12"/>
    <x v="0"/>
    <x v="91"/>
    <s v="Experienced qa engineer with 6 years working with problem solving, ci/cd, api testing"/>
    <x v="20"/>
    <n v="0"/>
    <x v="4"/>
    <n v="0.66666666666666663"/>
  </r>
  <r>
    <s v="CAND_0093"/>
    <x v="0"/>
    <x v="4"/>
    <x v="92"/>
    <s v="Experienced software developer with 2 years working with critical thinking, time management, git"/>
    <x v="3"/>
    <n v="1"/>
    <x v="3"/>
    <n v="0.7142857142857143"/>
  </r>
  <r>
    <s v="CAND_0094"/>
    <x v="12"/>
    <x v="3"/>
    <x v="93"/>
    <s v="Experienced system administrator with 6 years working with communication, creativity, security"/>
    <x v="16"/>
    <n v="0"/>
    <x v="1"/>
    <n v="0.4"/>
  </r>
  <r>
    <s v="CAND_0095"/>
    <x v="10"/>
    <x v="0"/>
    <x v="94"/>
    <s v="Experienced business analyst with 10 years working with adaptability, communication, requirements analysis"/>
    <x v="2"/>
    <n v="0"/>
    <x v="2"/>
    <n v="0.5"/>
  </r>
  <r>
    <s v="CAND_0096"/>
    <x v="12"/>
    <x v="4"/>
    <x v="95"/>
    <s v="Experienced analyst with 6 years working with python, adaptability, time management"/>
    <x v="12"/>
    <n v="0"/>
    <x v="7"/>
    <n v="0.5"/>
  </r>
  <r>
    <s v="CAND_0097"/>
    <x v="2"/>
    <x v="1"/>
    <x v="96"/>
    <s v="Experienced designer with 0 years working with problem solving, css"/>
    <x v="1"/>
    <n v="0"/>
    <x v="1"/>
    <n v="0.6"/>
  </r>
  <r>
    <s v="CAND_0098"/>
    <x v="2"/>
    <x v="4"/>
    <x v="97"/>
    <s v="Experienced data analyst with 0 years working with r, communication, data visualization"/>
    <x v="10"/>
    <n v="0"/>
    <x v="6"/>
    <n v="0.63636363636363635"/>
  </r>
  <r>
    <s v="CAND_0099"/>
    <x v="5"/>
    <x v="1"/>
    <x v="98"/>
    <s v="Experienced data analyst with 5 years working with critical thinking, pandas, statistics"/>
    <x v="10"/>
    <n v="1"/>
    <x v="6"/>
    <n v="0.63636363636363635"/>
  </r>
  <r>
    <s v="CAND_0100"/>
    <x v="2"/>
    <x v="3"/>
    <x v="99"/>
    <s v="Experienced data analyst with 0 years working with communication, time management, statistics"/>
    <x v="10"/>
    <n v="0"/>
    <x v="6"/>
    <n v="0.63636363636363635"/>
  </r>
  <r>
    <s v="CAND_0101"/>
    <x v="1"/>
    <x v="0"/>
    <x v="100"/>
    <s v="Experienced data scientist with 9 years working with critical thinking"/>
    <x v="5"/>
    <n v="0"/>
    <x v="0"/>
    <n v="0.5"/>
  </r>
  <r>
    <s v="CAND_0102"/>
    <x v="2"/>
    <x v="1"/>
    <x v="101"/>
    <s v="Experienced qa engineer with 0 years working with creativity, performance testing"/>
    <x v="20"/>
    <n v="0"/>
    <x v="4"/>
    <n v="0.66666666666666663"/>
  </r>
  <r>
    <s v="CAND_0103"/>
    <x v="1"/>
    <x v="4"/>
    <x v="102"/>
    <s v="Experienced system administrator with 9 years working with communication, security, networking"/>
    <x v="16"/>
    <n v="0"/>
    <x v="1"/>
    <n v="0.4"/>
  </r>
  <r>
    <s v="CAND_0104"/>
    <x v="2"/>
    <x v="1"/>
    <x v="103"/>
    <s v="Experienced software developer with 0 years working with critical thinking, adaptability, git"/>
    <x v="3"/>
    <n v="1"/>
    <x v="3"/>
    <n v="0.7142857142857143"/>
  </r>
  <r>
    <s v="CAND_0105"/>
    <x v="7"/>
    <x v="1"/>
    <x v="104"/>
    <s v="Experienced web developer with 4 years working with time management, webpack"/>
    <x v="13"/>
    <n v="0"/>
    <x v="0"/>
    <n v="0.5"/>
  </r>
  <r>
    <s v="CAND_0106"/>
    <x v="12"/>
    <x v="0"/>
    <x v="105"/>
    <s v="Experienced backend developer with 6 years working with python, adaptability, kubernetes"/>
    <x v="11"/>
    <n v="0"/>
    <x v="5"/>
    <n v="1"/>
  </r>
  <r>
    <s v="CAND_0107"/>
    <x v="3"/>
    <x v="3"/>
    <x v="106"/>
    <s v="Experienced designer with 8 years working with communication, time management, problem solving"/>
    <x v="1"/>
    <n v="1"/>
    <x v="1"/>
    <n v="0.6"/>
  </r>
  <r>
    <s v="CAND_0108"/>
    <x v="3"/>
    <x v="4"/>
    <x v="107"/>
    <s v="Experienced business analyst with 8 years working with critical thinking, communication, excel"/>
    <x v="2"/>
    <n v="1"/>
    <x v="2"/>
    <n v="0.5"/>
  </r>
  <r>
    <s v="CAND_0109"/>
    <x v="2"/>
    <x v="1"/>
    <x v="108"/>
    <s v="Experienced graphic designer with 0 years working with print design, adaptability, leadership"/>
    <x v="8"/>
    <n v="0"/>
    <x v="4"/>
    <n v="0.66666666666666663"/>
  </r>
  <r>
    <s v="CAND_0110"/>
    <x v="6"/>
    <x v="4"/>
    <x v="109"/>
    <s v="Experienced digital marketer with 3 years working with seo, communication, creativity"/>
    <x v="18"/>
    <n v="0"/>
    <x v="4"/>
    <n v="1"/>
  </r>
  <r>
    <s v="CAND_0111"/>
    <x v="9"/>
    <x v="2"/>
    <x v="110"/>
    <s v="Experienced product manager with 12 years working with problem solving, product management, communication"/>
    <x v="14"/>
    <n v="1"/>
    <x v="0"/>
    <n v="0.25"/>
  </r>
  <r>
    <s v="CAND_0112"/>
    <x v="3"/>
    <x v="4"/>
    <x v="111"/>
    <s v="Experienced mobile developer with 8 years working with critical thinking, adaptability, mobile"/>
    <x v="19"/>
    <n v="1"/>
    <x v="4"/>
    <n v="0.33333333333333331"/>
  </r>
  <r>
    <s v="CAND_0113"/>
    <x v="4"/>
    <x v="0"/>
    <x v="112"/>
    <s v="Experienced qa engineer with 1 years working with critical thinking, leadership, creativity"/>
    <x v="20"/>
    <n v="0"/>
    <x v="4"/>
    <n v="0.66666666666666663"/>
  </r>
  <r>
    <s v="CAND_0114"/>
    <x v="8"/>
    <x v="1"/>
    <x v="113"/>
    <s v="Experienced data analyst with 7 years working with critical thinking, communication, data visualization"/>
    <x v="10"/>
    <n v="0"/>
    <x v="6"/>
    <n v="0.63636363636363635"/>
  </r>
  <r>
    <s v="CAND_0115"/>
    <x v="5"/>
    <x v="3"/>
    <x v="114"/>
    <s v="Experienced digital marketer with 5 years working with digital marketing, adaptability, email marketing"/>
    <x v="18"/>
    <n v="1"/>
    <x v="4"/>
    <n v="1"/>
  </r>
  <r>
    <s v="CAND_0116"/>
    <x v="6"/>
    <x v="2"/>
    <x v="115"/>
    <s v="Experienced backend developer with 3 years working with adaptability, api, problem solving"/>
    <x v="11"/>
    <n v="1"/>
    <x v="5"/>
    <n v="1"/>
  </r>
  <r>
    <s v="CAND_0117"/>
    <x v="10"/>
    <x v="3"/>
    <x v="116"/>
    <s v="Experienced content creator with 10 years working with communication, copywriting, content strategy"/>
    <x v="17"/>
    <n v="0"/>
    <x v="4"/>
    <n v="1"/>
  </r>
  <r>
    <s v="CAND_0118"/>
    <x v="5"/>
    <x v="4"/>
    <x v="117"/>
    <s v="Experienced designer with 5 years working with problem solving, leadership, prototyping"/>
    <x v="1"/>
    <n v="0"/>
    <x v="1"/>
    <n v="0.6"/>
  </r>
  <r>
    <s v="CAND_0119"/>
    <x v="2"/>
    <x v="3"/>
    <x v="118"/>
    <s v="Experienced data analyst with 0 years working with python, communication, statistics"/>
    <x v="10"/>
    <n v="1"/>
    <x v="6"/>
    <n v="0.63636363636363635"/>
  </r>
  <r>
    <s v="CAND_0120"/>
    <x v="12"/>
    <x v="4"/>
    <x v="119"/>
    <s v="Experienced content creator with 6 years working with seo, adaptability, leadership"/>
    <x v="17"/>
    <n v="0"/>
    <x v="4"/>
    <n v="1"/>
  </r>
  <r>
    <s v="CAND_0121"/>
    <x v="7"/>
    <x v="4"/>
    <x v="120"/>
    <s v="Experienced data analyst with 4 years working with teamwork"/>
    <x v="10"/>
    <n v="0"/>
    <x v="6"/>
    <n v="0.63636363636363635"/>
  </r>
  <r>
    <s v="CAND_0122"/>
    <x v="2"/>
    <x v="1"/>
    <x v="121"/>
    <s v="Experienced mobile developer with 0 years working with mobile, creativity, communication"/>
    <x v="19"/>
    <n v="1"/>
    <x v="4"/>
    <n v="0.33333333333333331"/>
  </r>
  <r>
    <s v="CAND_0123"/>
    <x v="8"/>
    <x v="0"/>
    <x v="122"/>
    <s v="Experienced system administrator with 7 years working with teamwork, time management, linux"/>
    <x v="16"/>
    <n v="1"/>
    <x v="1"/>
    <n v="0.4"/>
  </r>
  <r>
    <s v="CAND_0124"/>
    <x v="4"/>
    <x v="0"/>
    <x v="123"/>
    <s v="Experienced mobile developer with 1 years working with swift, java, mobile"/>
    <x v="19"/>
    <n v="1"/>
    <x v="4"/>
    <n v="0.33333333333333331"/>
  </r>
  <r>
    <s v="CAND_0125"/>
    <x v="12"/>
    <x v="1"/>
    <x v="124"/>
    <s v="Experienced business analyst with 6 years working with communication, excel, leadership"/>
    <x v="2"/>
    <n v="1"/>
    <x v="2"/>
    <n v="0.5"/>
  </r>
  <r>
    <s v="CAND_0126"/>
    <x v="11"/>
    <x v="4"/>
    <x v="125"/>
    <s v="Experienced data scientist with 11 years working with communication"/>
    <x v="5"/>
    <n v="0"/>
    <x v="0"/>
    <n v="0.5"/>
  </r>
  <r>
    <s v="CAND_0127"/>
    <x v="0"/>
    <x v="3"/>
    <x v="84"/>
    <s v="Experienced project manager with 2 years working with creativity"/>
    <x v="4"/>
    <n v="0"/>
    <x v="2"/>
    <n v="0.875"/>
  </r>
  <r>
    <s v="CAND_0128"/>
    <x v="6"/>
    <x v="2"/>
    <x v="126"/>
    <s v="Experienced devops engineer with 3 years working with communication, kubernetes, creativity"/>
    <x v="7"/>
    <n v="0"/>
    <x v="0"/>
    <n v="1"/>
  </r>
  <r>
    <s v="CAND_0129"/>
    <x v="3"/>
    <x v="3"/>
    <x v="127"/>
    <s v="Experienced frontend developer with 8 years working with teamwork, webpack, sass"/>
    <x v="6"/>
    <n v="0"/>
    <x v="2"/>
    <n v="0.625"/>
  </r>
  <r>
    <s v="CAND_0130"/>
    <x v="0"/>
    <x v="0"/>
    <x v="128"/>
    <s v="Experienced fullstack developer with 2 years working with critical thinking, creativity, javascript"/>
    <x v="0"/>
    <n v="1"/>
    <x v="0"/>
    <n v="0.5"/>
  </r>
  <r>
    <s v="CAND_0131"/>
    <x v="1"/>
    <x v="4"/>
    <x v="129"/>
    <s v="Experienced digital marketer with 9 years working with digital marketing, seo, sem"/>
    <x v="18"/>
    <n v="1"/>
    <x v="4"/>
    <n v="1"/>
  </r>
  <r>
    <s v="CAND_0132"/>
    <x v="0"/>
    <x v="3"/>
    <x v="130"/>
    <s v="Experienced product manager with 2 years working with communication, technical skills, analytics"/>
    <x v="14"/>
    <n v="1"/>
    <x v="0"/>
    <n v="0.25"/>
  </r>
  <r>
    <s v="CAND_0133"/>
    <x v="2"/>
    <x v="4"/>
    <x v="131"/>
    <s v="Experienced fullstack developer with 0 years working with critical thinking, docker, time management"/>
    <x v="0"/>
    <n v="0"/>
    <x v="0"/>
    <n v="0.5"/>
  </r>
  <r>
    <s v="CAND_0134"/>
    <x v="5"/>
    <x v="2"/>
    <x v="132"/>
    <s v="Experienced graphic designer with 5 years working with photoshop, time management, illustrator"/>
    <x v="8"/>
    <n v="0"/>
    <x v="4"/>
    <n v="0.66666666666666663"/>
  </r>
  <r>
    <s v="CAND_0135"/>
    <x v="11"/>
    <x v="1"/>
    <x v="133"/>
    <s v="Experienced fullstack developer with 11 years working with critical thinking, python, time management"/>
    <x v="0"/>
    <n v="1"/>
    <x v="0"/>
    <n v="0.5"/>
  </r>
  <r>
    <s v="CAND_0136"/>
    <x v="0"/>
    <x v="3"/>
    <x v="134"/>
    <s v="Experienced digital marketer with 2 years working with digital marketing, problem solving, content marketing"/>
    <x v="18"/>
    <n v="1"/>
    <x v="4"/>
    <n v="1"/>
  </r>
  <r>
    <s v="CAND_0137"/>
    <x v="2"/>
    <x v="0"/>
    <x v="135"/>
    <s v="Experienced system administrator with 0 years working with communication, security, networking"/>
    <x v="16"/>
    <n v="0"/>
    <x v="1"/>
    <n v="0.4"/>
  </r>
  <r>
    <s v="CAND_0138"/>
    <x v="5"/>
    <x v="3"/>
    <x v="136"/>
    <s v="Experienced web developer with 5 years working with adaptability, communication, react"/>
    <x v="13"/>
    <n v="1"/>
    <x v="0"/>
    <n v="0.5"/>
  </r>
  <r>
    <s v="CAND_0139"/>
    <x v="3"/>
    <x v="1"/>
    <x v="137"/>
    <s v="Experienced digital marketer with 8 years working with critical thinking, google ads"/>
    <x v="18"/>
    <n v="0"/>
    <x v="4"/>
    <n v="1"/>
  </r>
  <r>
    <s v="CAND_0140"/>
    <x v="4"/>
    <x v="1"/>
    <x v="138"/>
    <s v="Experienced content creator with 1 years working with content writing, communication, time management"/>
    <x v="17"/>
    <n v="1"/>
    <x v="4"/>
    <n v="1"/>
  </r>
  <r>
    <s v="CAND_0141"/>
    <x v="4"/>
    <x v="1"/>
    <x v="139"/>
    <s v="Experienced qa engineer with 1 years working with api testing, leadership, teamwork"/>
    <x v="20"/>
    <n v="0"/>
    <x v="4"/>
    <n v="0.66666666666666663"/>
  </r>
  <r>
    <s v="CAND_0142"/>
    <x v="6"/>
    <x v="4"/>
    <x v="140"/>
    <s v="Experienced devops engineer with 3 years working with linux, docker, creativity"/>
    <x v="7"/>
    <n v="1"/>
    <x v="0"/>
    <n v="1"/>
  </r>
  <r>
    <s v="CAND_0143"/>
    <x v="1"/>
    <x v="2"/>
    <x v="141"/>
    <s v="Experienced designer with 9 years working with ui/ux, adobe creative suite, problem solving"/>
    <x v="1"/>
    <n v="1"/>
    <x v="1"/>
    <n v="0.6"/>
  </r>
  <r>
    <s v="CAND_0144"/>
    <x v="10"/>
    <x v="0"/>
    <x v="142"/>
    <s v="Experienced system administrator with 10 years working with linux, adaptability, communication"/>
    <x v="16"/>
    <n v="1"/>
    <x v="1"/>
    <n v="0.4"/>
  </r>
  <r>
    <s v="CAND_0145"/>
    <x v="4"/>
    <x v="1"/>
    <x v="143"/>
    <s v="Experienced digital marketer with 1 years working with digital marketing, seo, email marketing"/>
    <x v="18"/>
    <n v="1"/>
    <x v="4"/>
    <n v="1"/>
  </r>
  <r>
    <s v="CAND_0146"/>
    <x v="6"/>
    <x v="3"/>
    <x v="144"/>
    <s v="Experienced fullstack developer with 3 years working with problem solving"/>
    <x v="0"/>
    <n v="0"/>
    <x v="0"/>
    <n v="0.5"/>
  </r>
  <r>
    <s v="CAND_0147"/>
    <x v="4"/>
    <x v="3"/>
    <x v="145"/>
    <s v="Experienced frontend developer with 1 years working with communication, creativity, typescript"/>
    <x v="6"/>
    <n v="0"/>
    <x v="2"/>
    <n v="0.625"/>
  </r>
  <r>
    <s v="CAND_0148"/>
    <x v="1"/>
    <x v="1"/>
    <x v="146"/>
    <s v="Experienced product manager with 9 years working with critical thinking, communication, analytics"/>
    <x v="14"/>
    <n v="1"/>
    <x v="0"/>
    <n v="0.25"/>
  </r>
  <r>
    <s v="CAND_0149"/>
    <x v="11"/>
    <x v="0"/>
    <x v="147"/>
    <s v="Experienced product manager with 11 years working with communication, technical skills, time management"/>
    <x v="14"/>
    <n v="0"/>
    <x v="0"/>
    <n v="0.25"/>
  </r>
  <r>
    <s v="CAND_0150"/>
    <x v="3"/>
    <x v="2"/>
    <x v="148"/>
    <s v="Experienced ui ux designer with 8 years working with communication, adobe creative suite, problem solving"/>
    <x v="15"/>
    <n v="0"/>
    <x v="5"/>
    <n v="1"/>
  </r>
  <r>
    <s v="CAND_0151"/>
    <x v="6"/>
    <x v="1"/>
    <x v="86"/>
    <s v="Experienced data analyst with 3 years working with statistics, communication"/>
    <x v="10"/>
    <n v="0"/>
    <x v="6"/>
    <n v="0.63636363636363635"/>
  </r>
  <r>
    <s v="CAND_0152"/>
    <x v="1"/>
    <x v="2"/>
    <x v="149"/>
    <s v="Experienced digital marketer with 9 years working with sem, critical thinking, facebook ads"/>
    <x v="18"/>
    <n v="0"/>
    <x v="4"/>
    <n v="1"/>
  </r>
  <r>
    <s v="CAND_0153"/>
    <x v="4"/>
    <x v="2"/>
    <x v="150"/>
    <s v="Experienced frontend developer with 1 years working with leadership, adaptability, react"/>
    <x v="6"/>
    <n v="0"/>
    <x v="2"/>
    <n v="0.625"/>
  </r>
  <r>
    <s v="CAND_0154"/>
    <x v="4"/>
    <x v="3"/>
    <x v="151"/>
    <s v="Experienced data analyst with 1 years working with python, excel, leadership"/>
    <x v="10"/>
    <n v="1"/>
    <x v="6"/>
    <n v="0.63636363636363635"/>
  </r>
  <r>
    <s v="CAND_0155"/>
    <x v="2"/>
    <x v="3"/>
    <x v="152"/>
    <s v="Experienced qa engineer with 0 years working with adaptability, performance testing, leadership"/>
    <x v="20"/>
    <n v="0"/>
    <x v="4"/>
    <n v="0.66666666666666663"/>
  </r>
  <r>
    <s v="CAND_0156"/>
    <x v="1"/>
    <x v="1"/>
    <x v="153"/>
    <s v="Experienced business analyst with 9 years working with r, adaptability, excel"/>
    <x v="2"/>
    <n v="1"/>
    <x v="2"/>
    <n v="0.5"/>
  </r>
  <r>
    <s v="CAND_0157"/>
    <x v="12"/>
    <x v="2"/>
    <x v="154"/>
    <s v="Experienced data analyst with 6 years working with time management, excel, machine learning"/>
    <x v="10"/>
    <n v="1"/>
    <x v="6"/>
    <n v="0.63636363636363635"/>
  </r>
  <r>
    <s v="CAND_0158"/>
    <x v="2"/>
    <x v="2"/>
    <x v="155"/>
    <s v="Experienced business analyst with 0 years working with python, requirements analysis, excel"/>
    <x v="2"/>
    <n v="1"/>
    <x v="2"/>
    <n v="0.5"/>
  </r>
  <r>
    <s v="CAND_0159"/>
    <x v="3"/>
    <x v="2"/>
    <x v="156"/>
    <s v="Experienced mobile developer with 8 years working with adaptability, mobile, creativity"/>
    <x v="19"/>
    <n v="1"/>
    <x v="4"/>
    <n v="0.33333333333333331"/>
  </r>
  <r>
    <s v="CAND_0160"/>
    <x v="2"/>
    <x v="1"/>
    <x v="157"/>
    <s v="Experienced mobile developer with 0 years working with react native, java, google play"/>
    <x v="19"/>
    <n v="0"/>
    <x v="4"/>
    <n v="0.33333333333333331"/>
  </r>
  <r>
    <s v="CAND_0161"/>
    <x v="4"/>
    <x v="0"/>
    <x v="158"/>
    <s v="Experienced mobile developer with 1 years working with critical thinking, swift, java"/>
    <x v="19"/>
    <n v="0"/>
    <x v="4"/>
    <n v="0.33333333333333331"/>
  </r>
  <r>
    <s v="CAND_0162"/>
    <x v="4"/>
    <x v="2"/>
    <x v="159"/>
    <s v="Experienced software developer with 1 years working with python, adaptability, java"/>
    <x v="3"/>
    <n v="0"/>
    <x v="3"/>
    <n v="0.7142857142857143"/>
  </r>
  <r>
    <s v="CAND_0163"/>
    <x v="4"/>
    <x v="3"/>
    <x v="160"/>
    <s v="Experienced backend developer with 1 years working with api, docker, teamwork"/>
    <x v="11"/>
    <n v="1"/>
    <x v="5"/>
    <n v="1"/>
  </r>
  <r>
    <s v="CAND_0164"/>
    <x v="2"/>
    <x v="0"/>
    <x v="161"/>
    <s v="Experienced backend developer with 0 years working with microservices, teamwork"/>
    <x v="11"/>
    <n v="0"/>
    <x v="5"/>
    <n v="1"/>
  </r>
  <r>
    <s v="CAND_0165"/>
    <x v="1"/>
    <x v="1"/>
    <x v="162"/>
    <s v="Experienced fullstack developer with 9 years working with communication, problem solving, teamwork"/>
    <x v="0"/>
    <n v="0"/>
    <x v="0"/>
    <n v="0.5"/>
  </r>
  <r>
    <s v="CAND_0166"/>
    <x v="0"/>
    <x v="2"/>
    <x v="163"/>
    <s v="Experienced data scientist with 2 years working with numpy, critical thinking, communication"/>
    <x v="5"/>
    <n v="0"/>
    <x v="0"/>
    <n v="0.5"/>
  </r>
  <r>
    <s v="CAND_0167"/>
    <x v="7"/>
    <x v="2"/>
    <x v="164"/>
    <s v="Experienced web developer with 4 years working with time management, mongodb, javascript"/>
    <x v="13"/>
    <n v="1"/>
    <x v="0"/>
    <n v="0.5"/>
  </r>
  <r>
    <s v="CAND_0168"/>
    <x v="12"/>
    <x v="3"/>
    <x v="165"/>
    <s v="Experienced digital marketer with 6 years working with adaptability, time management, analytics"/>
    <x v="18"/>
    <n v="0"/>
    <x v="4"/>
    <n v="1"/>
  </r>
  <r>
    <s v="CAND_0169"/>
    <x v="8"/>
    <x v="1"/>
    <x v="166"/>
    <s v="Experienced business analyst with 7 years working with adaptability, excel, agile"/>
    <x v="2"/>
    <n v="1"/>
    <x v="2"/>
    <n v="0.5"/>
  </r>
  <r>
    <s v="CAND_0170"/>
    <x v="10"/>
    <x v="2"/>
    <x v="167"/>
    <s v="Experienced mobile developer with 10 years working with react native, mobile, firebase"/>
    <x v="19"/>
    <n v="1"/>
    <x v="4"/>
    <n v="0.33333333333333331"/>
  </r>
  <r>
    <s v="CAND_0171"/>
    <x v="8"/>
    <x v="2"/>
    <x v="168"/>
    <s v="Experienced fullstack developer with 7 years working with critical thinking, docker, time management"/>
    <x v="0"/>
    <n v="1"/>
    <x v="0"/>
    <n v="0.5"/>
  </r>
  <r>
    <s v="CAND_0172"/>
    <x v="7"/>
    <x v="2"/>
    <x v="169"/>
    <s v="Experienced frontend developer with 4 years working with adaptability, communication, vue"/>
    <x v="6"/>
    <n v="1"/>
    <x v="2"/>
    <n v="0.625"/>
  </r>
  <r>
    <s v="CAND_0173"/>
    <x v="3"/>
    <x v="0"/>
    <x v="170"/>
    <s v="Experienced devops engineer with 8 years working with critical thinking, linux, docker"/>
    <x v="7"/>
    <n v="1"/>
    <x v="0"/>
    <n v="1"/>
  </r>
  <r>
    <s v="CAND_0174"/>
    <x v="7"/>
    <x v="3"/>
    <x v="171"/>
    <s v="Experienced graphic designer with 4 years working with indesign, communication, adobe creative suite"/>
    <x v="8"/>
    <n v="1"/>
    <x v="4"/>
    <n v="0.66666666666666663"/>
  </r>
  <r>
    <s v="CAND_0175"/>
    <x v="4"/>
    <x v="1"/>
    <x v="172"/>
    <s v="Experienced graphic designer with 1 years working with illustrator, indesign, adobe creative suite"/>
    <x v="8"/>
    <n v="1"/>
    <x v="4"/>
    <n v="0.66666666666666663"/>
  </r>
  <r>
    <s v="CAND_0176"/>
    <x v="4"/>
    <x v="3"/>
    <x v="173"/>
    <s v="Experienced product manager with 1 years working with time management, user research, communication"/>
    <x v="14"/>
    <n v="0"/>
    <x v="0"/>
    <n v="0.25"/>
  </r>
  <r>
    <s v="CAND_0177"/>
    <x v="12"/>
    <x v="1"/>
    <x v="174"/>
    <s v="Experienced graphic designer with 6 years working with leadership, creativity, illustrator"/>
    <x v="8"/>
    <n v="0"/>
    <x v="4"/>
    <n v="0.66666666666666663"/>
  </r>
  <r>
    <s v="CAND_0178"/>
    <x v="0"/>
    <x v="0"/>
    <x v="175"/>
    <s v="Experienced web developer with 2 years working with communication, creativity, teamwork"/>
    <x v="13"/>
    <n v="1"/>
    <x v="0"/>
    <n v="0.5"/>
  </r>
  <r>
    <s v="CAND_0179"/>
    <x v="2"/>
    <x v="3"/>
    <x v="176"/>
    <s v="Experienced software developer with 0 years working with python, java, time management"/>
    <x v="3"/>
    <n v="0"/>
    <x v="3"/>
    <n v="0.7142857142857143"/>
  </r>
  <r>
    <s v="CAND_0180"/>
    <x v="8"/>
    <x v="2"/>
    <x v="177"/>
    <s v="Experienced devops engineer with 7 years working with critical thinking, kubernetes, ansible"/>
    <x v="7"/>
    <n v="0"/>
    <x v="0"/>
    <n v="1"/>
  </r>
  <r>
    <s v="CAND_0181"/>
    <x v="1"/>
    <x v="1"/>
    <x v="178"/>
    <s v="Experienced data scientist with 9 years working with hadoop, teamwork, communication"/>
    <x v="5"/>
    <n v="0"/>
    <x v="0"/>
    <n v="0.5"/>
  </r>
  <r>
    <s v="CAND_0182"/>
    <x v="4"/>
    <x v="1"/>
    <x v="179"/>
    <s v="Experienced graphic designer with 1 years working with photoshop, critical thinking, indesign"/>
    <x v="8"/>
    <n v="0"/>
    <x v="4"/>
    <n v="0.66666666666666663"/>
  </r>
  <r>
    <s v="CAND_0183"/>
    <x v="3"/>
    <x v="0"/>
    <x v="180"/>
    <s v="Experienced data analyst with 8 years working with creativity, excel, powerbi"/>
    <x v="10"/>
    <n v="1"/>
    <x v="6"/>
    <n v="0.63636363636363635"/>
  </r>
  <r>
    <s v="CAND_0184"/>
    <x v="6"/>
    <x v="4"/>
    <x v="181"/>
    <s v="Experienced product manager with 3 years working with communication, technical skills, roadmap planning"/>
    <x v="14"/>
    <n v="1"/>
    <x v="0"/>
    <n v="0.25"/>
  </r>
  <r>
    <s v="CAND_0185"/>
    <x v="3"/>
    <x v="4"/>
    <x v="182"/>
    <s v="Experienced software developer with 8 years working with critical thinking, time management, java"/>
    <x v="3"/>
    <n v="1"/>
    <x v="3"/>
    <n v="0.7142857142857143"/>
  </r>
  <r>
    <s v="CAND_0186"/>
    <x v="1"/>
    <x v="1"/>
    <x v="183"/>
    <s v="Experienced mobile developer with 9 years working with creativity, firebase, leadership"/>
    <x v="19"/>
    <n v="0"/>
    <x v="4"/>
    <n v="0.33333333333333331"/>
  </r>
  <r>
    <s v="CAND_0187"/>
    <x v="2"/>
    <x v="4"/>
    <x v="184"/>
    <s v="Experienced data scientist with 0 years working with python, adaptability, problem solving"/>
    <x v="5"/>
    <n v="1"/>
    <x v="0"/>
    <n v="0.5"/>
  </r>
  <r>
    <s v="CAND_0188"/>
    <x v="2"/>
    <x v="1"/>
    <x v="185"/>
    <s v="Experienced ui ux designer with 0 years working with critical thinking, ui/ux, adobe creative suite"/>
    <x v="15"/>
    <n v="1"/>
    <x v="5"/>
    <n v="1"/>
  </r>
  <r>
    <s v="CAND_0189"/>
    <x v="7"/>
    <x v="4"/>
    <x v="186"/>
    <s v="Experienced qa engineer with 4 years working with creativity, quality assurance, performance testing"/>
    <x v="20"/>
    <n v="1"/>
    <x v="4"/>
    <n v="0.66666666666666663"/>
  </r>
  <r>
    <s v="CAND_0190"/>
    <x v="5"/>
    <x v="2"/>
    <x v="187"/>
    <s v="Experienced backend developer with 5 years working with problem solving, python, adaptability"/>
    <x v="11"/>
    <n v="0"/>
    <x v="5"/>
    <n v="1"/>
  </r>
  <r>
    <s v="CAND_0191"/>
    <x v="12"/>
    <x v="3"/>
    <x v="188"/>
    <s v="Experienced backend developer with 6 years working with problem solving, api, c#"/>
    <x v="11"/>
    <n v="1"/>
    <x v="5"/>
    <n v="1"/>
  </r>
  <r>
    <s v="CAND_0192"/>
    <x v="4"/>
    <x v="2"/>
    <x v="189"/>
    <s v="Experienced project manager with 1 years working with teamwork, time management, adaptability"/>
    <x v="4"/>
    <n v="1"/>
    <x v="2"/>
    <n v="0.875"/>
  </r>
  <r>
    <s v="CAND_0193"/>
    <x v="5"/>
    <x v="2"/>
    <x v="190"/>
    <s v="Experienced developer with 5 years working with python, testing, java"/>
    <x v="9"/>
    <n v="1"/>
    <x v="5"/>
    <n v="0.5"/>
  </r>
  <r>
    <s v="CAND_0194"/>
    <x v="4"/>
    <x v="2"/>
    <x v="191"/>
    <s v="Experienced mobile developer with 1 years working with react native, swift, java"/>
    <x v="19"/>
    <n v="1"/>
    <x v="4"/>
    <n v="0.33333333333333331"/>
  </r>
  <r>
    <s v="CAND_0195"/>
    <x v="1"/>
    <x v="4"/>
    <x v="192"/>
    <s v="Experienced ui ux designer with 9 years working with critical thinking, creativity, leadership"/>
    <x v="15"/>
    <n v="0"/>
    <x v="5"/>
    <n v="1"/>
  </r>
  <r>
    <s v="CAND_0196"/>
    <x v="0"/>
    <x v="4"/>
    <x v="193"/>
    <s v="Experienced content creator with 2 years working with content writing, communication, time management"/>
    <x v="17"/>
    <n v="1"/>
    <x v="4"/>
    <n v="1"/>
  </r>
  <r>
    <s v="CAND_0197"/>
    <x v="12"/>
    <x v="4"/>
    <x v="194"/>
    <s v="Experienced backend developer with 6 years working with adaptability, api, communication"/>
    <x v="11"/>
    <n v="1"/>
    <x v="5"/>
    <n v="1"/>
  </r>
  <r>
    <s v="CAND_0198"/>
    <x v="1"/>
    <x v="0"/>
    <x v="195"/>
    <s v="Experienced project manager with 9 years working with leadership, communication, confluence"/>
    <x v="4"/>
    <n v="0"/>
    <x v="2"/>
    <n v="0.875"/>
  </r>
  <r>
    <s v="CAND_0199"/>
    <x v="5"/>
    <x v="4"/>
    <x v="196"/>
    <s v="Experienced data analyst with 5 years working with python, pandas, creativity"/>
    <x v="10"/>
    <n v="0"/>
    <x v="6"/>
    <n v="0.63636363636363635"/>
  </r>
  <r>
    <s v="CAND_0200"/>
    <x v="10"/>
    <x v="2"/>
    <x v="197"/>
    <s v="Experienced ui ux designer with 10 years working with ui/ux, adobe creative suite, time management"/>
    <x v="15"/>
    <n v="1"/>
    <x v="5"/>
    <n v="1"/>
  </r>
  <r>
    <s v="CAND_0201"/>
    <x v="2"/>
    <x v="4"/>
    <x v="198"/>
    <s v="Experienced business analyst with 0 years working with leadership, agile, tableau"/>
    <x v="2"/>
    <n v="0"/>
    <x v="2"/>
    <n v="0.5"/>
  </r>
  <r>
    <s v="CAND_0202"/>
    <x v="8"/>
    <x v="0"/>
    <x v="199"/>
    <s v="Experienced business analyst with 7 years working with critical thinking, problem solving, excel"/>
    <x v="2"/>
    <n v="1"/>
    <x v="2"/>
    <n v="0.5"/>
  </r>
  <r>
    <s v="CAND_0203"/>
    <x v="10"/>
    <x v="0"/>
    <x v="200"/>
    <s v="Experienced developer with 10 years working with leadership, programming"/>
    <x v="9"/>
    <n v="1"/>
    <x v="5"/>
    <n v="0.5"/>
  </r>
  <r>
    <s v="CAND_0204"/>
    <x v="10"/>
    <x v="0"/>
    <x v="201"/>
    <s v="Experienced analyst with 10 years working with critical thinking, communication, statistics"/>
    <x v="12"/>
    <n v="1"/>
    <x v="7"/>
    <n v="0.5"/>
  </r>
  <r>
    <s v="CAND_0205"/>
    <x v="1"/>
    <x v="0"/>
    <x v="202"/>
    <s v="Experienced graphic designer with 9 years working with adaptability, indesign, web design"/>
    <x v="8"/>
    <n v="1"/>
    <x v="4"/>
    <n v="0.66666666666666663"/>
  </r>
  <r>
    <s v="CAND_0206"/>
    <x v="1"/>
    <x v="4"/>
    <x v="203"/>
    <s v="Experienced web developer with 9 years working with vue, time management, webpack"/>
    <x v="13"/>
    <n v="0"/>
    <x v="0"/>
    <n v="0.5"/>
  </r>
  <r>
    <s v="CAND_0207"/>
    <x v="4"/>
    <x v="1"/>
    <x v="204"/>
    <s v="Experienced frontend developer with 1 years working with webpack, react, typescript"/>
    <x v="6"/>
    <n v="1"/>
    <x v="2"/>
    <n v="0.625"/>
  </r>
  <r>
    <s v="CAND_0208"/>
    <x v="2"/>
    <x v="3"/>
    <x v="205"/>
    <s v="Experienced qa engineer with 0 years working with communication, testing, api testing"/>
    <x v="20"/>
    <n v="1"/>
    <x v="4"/>
    <n v="0.66666666666666663"/>
  </r>
  <r>
    <s v="CAND_0209"/>
    <x v="0"/>
    <x v="4"/>
    <x v="206"/>
    <s v="Experienced devops engineer with 2 years working with problem solving, time management, teamwork"/>
    <x v="7"/>
    <n v="0"/>
    <x v="0"/>
    <n v="1"/>
  </r>
  <r>
    <s v="CAND_0210"/>
    <x v="1"/>
    <x v="4"/>
    <x v="207"/>
    <s v="Experienced analyst with 9 years working with time management, statistics, problem solving"/>
    <x v="12"/>
    <n v="0"/>
    <x v="7"/>
    <n v="0.5"/>
  </r>
  <r>
    <s v="CAND_0211"/>
    <x v="12"/>
    <x v="2"/>
    <x v="208"/>
    <s v="Experienced mobile developer with 6 years working with adaptability, google play, kotlin"/>
    <x v="19"/>
    <n v="0"/>
    <x v="4"/>
    <n v="0.33333333333333331"/>
  </r>
  <r>
    <s v="CAND_0212"/>
    <x v="2"/>
    <x v="4"/>
    <x v="209"/>
    <s v="Experienced analyst with 0 years working with r, teamwork, statistics"/>
    <x v="12"/>
    <n v="0"/>
    <x v="7"/>
    <n v="0.5"/>
  </r>
  <r>
    <s v="CAND_0213"/>
    <x v="2"/>
    <x v="0"/>
    <x v="210"/>
    <s v="Experienced project manager with 0 years working with adaptability, jira, time management"/>
    <x v="4"/>
    <n v="0"/>
    <x v="2"/>
    <n v="0.875"/>
  </r>
  <r>
    <s v="CAND_0214"/>
    <x v="3"/>
    <x v="2"/>
    <x v="211"/>
    <s v="Experienced analyst with 8 years working with statistics, data analysis, excel"/>
    <x v="12"/>
    <n v="1"/>
    <x v="7"/>
    <n v="0.5"/>
  </r>
  <r>
    <s v="CAND_0215"/>
    <x v="6"/>
    <x v="1"/>
    <x v="212"/>
    <s v="Experienced qa engineer with 3 years working with communication, testing, leadership"/>
    <x v="20"/>
    <n v="1"/>
    <x v="4"/>
    <n v="0.66666666666666663"/>
  </r>
  <r>
    <s v="CAND_0216"/>
    <x v="2"/>
    <x v="3"/>
    <x v="213"/>
    <s v="Experienced qa engineer with 0 years working with adaptability, testing, problem solving"/>
    <x v="20"/>
    <n v="1"/>
    <x v="4"/>
    <n v="0.66666666666666663"/>
  </r>
  <r>
    <s v="CAND_0217"/>
    <x v="5"/>
    <x v="4"/>
    <x v="214"/>
    <s v="Experienced product manager with 5 years working with communication, technical skills, time management"/>
    <x v="14"/>
    <n v="1"/>
    <x v="0"/>
    <n v="0.25"/>
  </r>
  <r>
    <s v="CAND_0218"/>
    <x v="6"/>
    <x v="2"/>
    <x v="215"/>
    <s v="Experienced mobile developer with 3 years working with mobile, adaptability, swift"/>
    <x v="19"/>
    <n v="1"/>
    <x v="4"/>
    <n v="0.33333333333333331"/>
  </r>
  <r>
    <s v="CAND_0219"/>
    <x v="2"/>
    <x v="0"/>
    <x v="216"/>
    <s v="Experienced data analyst with 0 years working with python, adaptability, pandas"/>
    <x v="10"/>
    <n v="1"/>
    <x v="6"/>
    <n v="0.63636363636363635"/>
  </r>
  <r>
    <s v="CAND_0220"/>
    <x v="4"/>
    <x v="3"/>
    <x v="217"/>
    <s v="Experienced graphic designer with 1 years working with critical thinking, web design, adobe creative suite"/>
    <x v="8"/>
    <n v="1"/>
    <x v="4"/>
    <n v="0.66666666666666663"/>
  </r>
  <r>
    <s v="CAND_0221"/>
    <x v="2"/>
    <x v="3"/>
    <x v="218"/>
    <s v="Experienced developer with 0 years working with critical thinking, adaptability, java"/>
    <x v="9"/>
    <n v="1"/>
    <x v="5"/>
    <n v="0.5"/>
  </r>
  <r>
    <s v="CAND_0222"/>
    <x v="4"/>
    <x v="3"/>
    <x v="219"/>
    <s v="Experienced qa engineer with 1 years working with communication, performance testing, selenium"/>
    <x v="20"/>
    <n v="0"/>
    <x v="4"/>
    <n v="0.66666666666666663"/>
  </r>
  <r>
    <s v="CAND_0223"/>
    <x v="6"/>
    <x v="4"/>
    <x v="220"/>
    <s v="Experienced data scientist with 3 years working with critical thinking, communication, time management"/>
    <x v="5"/>
    <n v="0"/>
    <x v="0"/>
    <n v="0.5"/>
  </r>
  <r>
    <s v="CAND_0224"/>
    <x v="1"/>
    <x v="3"/>
    <x v="221"/>
    <s v="Experienced mobile developer with 9 years working with adaptability, communication, app store"/>
    <x v="19"/>
    <n v="0"/>
    <x v="4"/>
    <n v="0.33333333333333331"/>
  </r>
  <r>
    <s v="CAND_0225"/>
    <x v="4"/>
    <x v="4"/>
    <x v="222"/>
    <s v="Experienced system administrator with 1 years working with teamwork, networking, communication"/>
    <x v="16"/>
    <n v="0"/>
    <x v="1"/>
    <n v="0.4"/>
  </r>
  <r>
    <s v="CAND_0226"/>
    <x v="0"/>
    <x v="3"/>
    <x v="223"/>
    <s v="Experienced business analyst with 2 years working with communication, creativity, excel"/>
    <x v="2"/>
    <n v="1"/>
    <x v="2"/>
    <n v="0.5"/>
  </r>
  <r>
    <s v="CAND_0227"/>
    <x v="0"/>
    <x v="4"/>
    <x v="224"/>
    <s v="Experienced web developer with 2 years working with adaptability, creativity, problem solving"/>
    <x v="13"/>
    <n v="1"/>
    <x v="0"/>
    <n v="0.5"/>
  </r>
  <r>
    <s v="CAND_0228"/>
    <x v="6"/>
    <x v="1"/>
    <x v="225"/>
    <s v="Experienced fullstack developer with 3 years working with critical thinking, microservices, creativity"/>
    <x v="0"/>
    <n v="0"/>
    <x v="0"/>
    <n v="0.5"/>
  </r>
  <r>
    <s v="CAND_0229"/>
    <x v="5"/>
    <x v="1"/>
    <x v="226"/>
    <s v="Experienced mobile developer with 5 years working with swift, time management, kotlin"/>
    <x v="19"/>
    <n v="0"/>
    <x v="4"/>
    <n v="0.33333333333333331"/>
  </r>
  <r>
    <s v="CAND_0230"/>
    <x v="2"/>
    <x v="4"/>
    <x v="227"/>
    <s v="Experienced system administrator with 0 years working with critical thinking, linux, communication"/>
    <x v="16"/>
    <n v="1"/>
    <x v="1"/>
    <n v="0.4"/>
  </r>
  <r>
    <s v="CAND_0231"/>
    <x v="2"/>
    <x v="3"/>
    <x v="228"/>
    <s v="Experienced software developer with 0 years working with python, leadership, c#"/>
    <x v="3"/>
    <n v="1"/>
    <x v="3"/>
    <n v="0.7142857142857143"/>
  </r>
  <r>
    <s v="CAND_0232"/>
    <x v="3"/>
    <x v="4"/>
    <x v="229"/>
    <s v="Experienced project manager with 8 years working with stakeholder management, teamwork, risk management"/>
    <x v="4"/>
    <n v="1"/>
    <x v="2"/>
    <n v="0.875"/>
  </r>
  <r>
    <s v="CAND_0233"/>
    <x v="5"/>
    <x v="0"/>
    <x v="230"/>
    <s v="Experienced business analyst with 5 years working with powerbi, critical thinking, business intelligence"/>
    <x v="2"/>
    <n v="0"/>
    <x v="2"/>
    <n v="0.5"/>
  </r>
  <r>
    <s v="CAND_0234"/>
    <x v="5"/>
    <x v="0"/>
    <x v="231"/>
    <s v="Experienced fullstack developer with 5 years working with critical thinking, microservices, teamwork"/>
    <x v="0"/>
    <n v="0"/>
    <x v="0"/>
    <n v="0.5"/>
  </r>
  <r>
    <s v="CAND_0235"/>
    <x v="2"/>
    <x v="3"/>
    <x v="232"/>
    <s v="Experienced web developer with 0 years working with communication, time management, teamwork"/>
    <x v="13"/>
    <n v="1"/>
    <x v="0"/>
    <n v="0.5"/>
  </r>
  <r>
    <s v="CAND_0236"/>
    <x v="0"/>
    <x v="3"/>
    <x v="233"/>
    <s v="Experienced developer with 2 years working with python, communication, testing"/>
    <x v="9"/>
    <n v="1"/>
    <x v="5"/>
    <n v="0.5"/>
  </r>
  <r>
    <s v="CAND_0237"/>
    <x v="5"/>
    <x v="0"/>
    <x v="234"/>
    <s v="Experienced developer with 5 years working with time management, leadership"/>
    <x v="9"/>
    <n v="0"/>
    <x v="5"/>
    <n v="0.5"/>
  </r>
  <r>
    <s v="CAND_0238"/>
    <x v="3"/>
    <x v="4"/>
    <x v="235"/>
    <s v="Experienced devops engineer with 8 years working with critical thinking, linux, communication"/>
    <x v="7"/>
    <n v="1"/>
    <x v="0"/>
    <n v="1"/>
  </r>
  <r>
    <s v="CAND_0239"/>
    <x v="6"/>
    <x v="4"/>
    <x v="236"/>
    <s v="Experienced project manager with 3 years working with adaptability, project management, time management"/>
    <x v="4"/>
    <n v="1"/>
    <x v="2"/>
    <n v="0.875"/>
  </r>
  <r>
    <s v="CAND_0240"/>
    <x v="6"/>
    <x v="4"/>
    <x v="237"/>
    <s v="Experienced designer with 3 years working with adobe creative suite, problem solving, teamwork"/>
    <x v="1"/>
    <n v="0"/>
    <x v="1"/>
    <n v="0.6"/>
  </r>
  <r>
    <s v="CAND_0241"/>
    <x v="6"/>
    <x v="1"/>
    <x v="238"/>
    <s v="Experienced backend developer with 3 years working with adaptability, java, docker"/>
    <x v="11"/>
    <n v="0"/>
    <x v="5"/>
    <n v="1"/>
  </r>
  <r>
    <s v="CAND_0242"/>
    <x v="2"/>
    <x v="0"/>
    <x v="239"/>
    <s v="Experienced developer with 0 years working with teamwork, git, agile"/>
    <x v="9"/>
    <n v="0"/>
    <x v="5"/>
    <n v="0.5"/>
  </r>
  <r>
    <s v="CAND_0243"/>
    <x v="5"/>
    <x v="0"/>
    <x v="240"/>
    <s v="Experienced analyst with 5 years working with time management, data analysis, excel"/>
    <x v="12"/>
    <n v="1"/>
    <x v="7"/>
    <n v="0.5"/>
  </r>
  <r>
    <s v="CAND_0244"/>
    <x v="6"/>
    <x v="0"/>
    <x v="241"/>
    <s v="Experienced analyst with 3 years working with r, python, teamwork"/>
    <x v="12"/>
    <n v="0"/>
    <x v="7"/>
    <n v="0.5"/>
  </r>
  <r>
    <s v="CAND_0245"/>
    <x v="12"/>
    <x v="3"/>
    <x v="242"/>
    <s v="Experienced ui ux designer with 6 years working with ui/ux, adaptability, communication"/>
    <x v="15"/>
    <n v="1"/>
    <x v="5"/>
    <n v="1"/>
  </r>
  <r>
    <s v="CAND_0246"/>
    <x v="1"/>
    <x v="3"/>
    <x v="243"/>
    <s v="Experienced mobile developer with 9 years working with mobile, leadership, problem solving"/>
    <x v="19"/>
    <n v="1"/>
    <x v="4"/>
    <n v="0.33333333333333331"/>
  </r>
  <r>
    <s v="CAND_0247"/>
    <x v="1"/>
    <x v="2"/>
    <x v="244"/>
    <s v="Experienced data scientist with 9 years working with critical thinking, machine learning, communication"/>
    <x v="5"/>
    <n v="0"/>
    <x v="0"/>
    <n v="0.5"/>
  </r>
  <r>
    <s v="CAND_0248"/>
    <x v="3"/>
    <x v="4"/>
    <x v="245"/>
    <s v="Experienced developer with 8 years working with python, adaptability, testing"/>
    <x v="9"/>
    <n v="1"/>
    <x v="5"/>
    <n v="0.5"/>
  </r>
  <r>
    <s v="CAND_0249"/>
    <x v="4"/>
    <x v="1"/>
    <x v="246"/>
    <s v="Experienced mobile developer with 1 years working with java, creativity, problem solving"/>
    <x v="19"/>
    <n v="0"/>
    <x v="4"/>
    <n v="0.33333333333333331"/>
  </r>
  <r>
    <s v="CAND_0250"/>
    <x v="0"/>
    <x v="4"/>
    <x v="247"/>
    <s v="Experienced analyst with 2 years working with python, adaptability, communication"/>
    <x v="12"/>
    <n v="1"/>
    <x v="7"/>
    <n v="0.5"/>
  </r>
  <r>
    <s v="CAND_0251"/>
    <x v="1"/>
    <x v="0"/>
    <x v="248"/>
    <s v="Experienced software developer with 9 years working with python, c#, programming"/>
    <x v="3"/>
    <n v="1"/>
    <x v="3"/>
    <n v="0.7142857142857143"/>
  </r>
  <r>
    <s v="CAND_0252"/>
    <x v="2"/>
    <x v="2"/>
    <x v="249"/>
    <s v="Experienced data analyst with 0 years working with critical thinking, python, machine learning"/>
    <x v="10"/>
    <n v="0"/>
    <x v="6"/>
    <n v="0.63636363636363635"/>
  </r>
  <r>
    <s v="CAND_0253"/>
    <x v="3"/>
    <x v="1"/>
    <x v="250"/>
    <s v="Experienced designer with 8 years working with adobe creative suite, creativity, problem solving"/>
    <x v="1"/>
    <n v="1"/>
    <x v="1"/>
    <n v="0.6"/>
  </r>
  <r>
    <s v="CAND_0254"/>
    <x v="5"/>
    <x v="4"/>
    <x v="251"/>
    <s v="Experienced developer with 5 years working with critical thinking, testing, creativity"/>
    <x v="9"/>
    <n v="1"/>
    <x v="5"/>
    <n v="0.5"/>
  </r>
  <r>
    <s v="CAND_0255"/>
    <x v="2"/>
    <x v="1"/>
    <x v="252"/>
    <s v="Experienced graphic designer with 0 years working with adaptability, web design, adobe creative suite"/>
    <x v="8"/>
    <n v="1"/>
    <x v="4"/>
    <n v="0.66666666666666663"/>
  </r>
  <r>
    <s v="CAND_0256"/>
    <x v="0"/>
    <x v="1"/>
    <x v="253"/>
    <s v="Experienced business analyst with 2 years working with critical thinking, python, creativity"/>
    <x v="2"/>
    <n v="1"/>
    <x v="2"/>
    <n v="0.5"/>
  </r>
  <r>
    <s v="CAND_0257"/>
    <x v="1"/>
    <x v="3"/>
    <x v="254"/>
    <s v="Experienced frontend developer with 9 years working with problem solving, leadership, javascript"/>
    <x v="6"/>
    <n v="1"/>
    <x v="2"/>
    <n v="0.625"/>
  </r>
  <r>
    <s v="CAND_0258"/>
    <x v="0"/>
    <x v="4"/>
    <x v="255"/>
    <s v="Experienced web developer with 2 years working with creativity, react, typescript"/>
    <x v="13"/>
    <n v="1"/>
    <x v="0"/>
    <n v="0.5"/>
  </r>
  <r>
    <s v="CAND_0259"/>
    <x v="8"/>
    <x v="1"/>
    <x v="120"/>
    <s v="Experienced qa engineer with 7 years working with teamwork"/>
    <x v="20"/>
    <n v="0"/>
    <x v="4"/>
    <n v="0.66666666666666663"/>
  </r>
  <r>
    <s v="CAND_0260"/>
    <x v="5"/>
    <x v="2"/>
    <x v="256"/>
    <s v="Experienced developer with 5 years working with critical thinking, adaptability, testing"/>
    <x v="9"/>
    <n v="1"/>
    <x v="5"/>
    <n v="0.5"/>
  </r>
  <r>
    <s v="CAND_0261"/>
    <x v="0"/>
    <x v="0"/>
    <x v="257"/>
    <s v="Experienced software developer with 2 years working with time management, ci/cd, testing"/>
    <x v="3"/>
    <n v="0"/>
    <x v="3"/>
    <n v="0.7142857142857143"/>
  </r>
  <r>
    <s v="CAND_0262"/>
    <x v="1"/>
    <x v="3"/>
    <x v="258"/>
    <s v="Experienced analyst with 9 years working with critical thinking, python, statistics"/>
    <x v="12"/>
    <n v="1"/>
    <x v="7"/>
    <n v="0.5"/>
  </r>
  <r>
    <s v="CAND_0263"/>
    <x v="12"/>
    <x v="1"/>
    <x v="259"/>
    <s v="Experienced backend developer with 6 years working with java, c#, leadership"/>
    <x v="11"/>
    <n v="0"/>
    <x v="5"/>
    <n v="1"/>
  </r>
  <r>
    <s v="CAND_0264"/>
    <x v="0"/>
    <x v="4"/>
    <x v="260"/>
    <s v="Experienced software developer with 2 years working with java, time management, c#"/>
    <x v="3"/>
    <n v="1"/>
    <x v="3"/>
    <n v="0.7142857142857143"/>
  </r>
  <r>
    <s v="CAND_0265"/>
    <x v="12"/>
    <x v="4"/>
    <x v="261"/>
    <s v="Experienced business analyst with 6 years working with creativity, business intelligence, tableau"/>
    <x v="2"/>
    <n v="0"/>
    <x v="2"/>
    <n v="0.5"/>
  </r>
  <r>
    <s v="CAND_0266"/>
    <x v="0"/>
    <x v="2"/>
    <x v="262"/>
    <s v="Experienced content creator with 2 years working with seo, adaptability, content strategy"/>
    <x v="17"/>
    <n v="0"/>
    <x v="4"/>
    <n v="1"/>
  </r>
  <r>
    <s v="CAND_0267"/>
    <x v="2"/>
    <x v="3"/>
    <x v="263"/>
    <s v="Experienced designer with 0 years working with time management, problem solving, leadership"/>
    <x v="1"/>
    <n v="1"/>
    <x v="1"/>
    <n v="0.6"/>
  </r>
  <r>
    <s v="CAND_0268"/>
    <x v="1"/>
    <x v="2"/>
    <x v="264"/>
    <s v="Experienced product manager with 9 years working with critical thinking, communication, technical skills"/>
    <x v="14"/>
    <n v="1"/>
    <x v="0"/>
    <n v="0.25"/>
  </r>
  <r>
    <s v="CAND_0269"/>
    <x v="5"/>
    <x v="1"/>
    <x v="265"/>
    <s v="Experienced frontend developer with 5 years working with adaptability, communication, teamwork"/>
    <x v="6"/>
    <n v="1"/>
    <x v="2"/>
    <n v="0.625"/>
  </r>
  <r>
    <s v="CAND_0270"/>
    <x v="12"/>
    <x v="2"/>
    <x v="266"/>
    <s v="Experienced graphic designer with 6 years working with critical thinking, problem solving, teamwork"/>
    <x v="8"/>
    <n v="0"/>
    <x v="4"/>
    <n v="0.66666666666666663"/>
  </r>
  <r>
    <s v="CAND_0271"/>
    <x v="2"/>
    <x v="3"/>
    <x v="267"/>
    <s v="Experienced software developer with 0 years working with problem solving, docker, c++"/>
    <x v="3"/>
    <n v="1"/>
    <x v="3"/>
    <n v="0.7142857142857143"/>
  </r>
  <r>
    <s v="CAND_0272"/>
    <x v="8"/>
    <x v="0"/>
    <x v="268"/>
    <s v="Experienced project manager with 7 years working with adaptability, project management, risk management"/>
    <x v="4"/>
    <n v="1"/>
    <x v="2"/>
    <n v="0.875"/>
  </r>
  <r>
    <s v="CAND_0273"/>
    <x v="5"/>
    <x v="4"/>
    <x v="269"/>
    <s v="Experienced data analyst with 5 years working with python, communication, excel"/>
    <x v="10"/>
    <n v="1"/>
    <x v="6"/>
    <n v="0.63636363636363635"/>
  </r>
  <r>
    <s v="CAND_0274"/>
    <x v="6"/>
    <x v="0"/>
    <x v="270"/>
    <s v="Experienced ui ux designer with 3 years working with critical thinking, ui/ux, adobe creative suite"/>
    <x v="15"/>
    <n v="1"/>
    <x v="5"/>
    <n v="1"/>
  </r>
  <r>
    <s v="CAND_0275"/>
    <x v="7"/>
    <x v="0"/>
    <x v="271"/>
    <s v="Experienced digital marketer with 4 years working with digital marketing, seo, time management"/>
    <x v="18"/>
    <n v="1"/>
    <x v="4"/>
    <n v="1"/>
  </r>
  <r>
    <s v="CAND_0276"/>
    <x v="7"/>
    <x v="4"/>
    <x v="272"/>
    <s v="Experienced software developer with 4 years working with python, adaptability, communication"/>
    <x v="3"/>
    <n v="1"/>
    <x v="3"/>
    <n v="0.7142857142857143"/>
  </r>
  <r>
    <s v="CAND_0277"/>
    <x v="2"/>
    <x v="2"/>
    <x v="273"/>
    <s v="Experienced backend developer with 0 years working with critical thinking, api, communication"/>
    <x v="11"/>
    <n v="1"/>
    <x v="5"/>
    <n v="1"/>
  </r>
  <r>
    <s v="CAND_0278"/>
    <x v="0"/>
    <x v="3"/>
    <x v="274"/>
    <s v="Experienced web developer with 2 years working with critical thinking, html, creativity"/>
    <x v="13"/>
    <n v="1"/>
    <x v="0"/>
    <n v="0.5"/>
  </r>
  <r>
    <s v="CAND_0279"/>
    <x v="10"/>
    <x v="0"/>
    <x v="275"/>
    <s v="Experienced mobile developer with 10 years working with problem solving, time management, critical thinking"/>
    <x v="19"/>
    <n v="0"/>
    <x v="4"/>
    <n v="0.33333333333333331"/>
  </r>
  <r>
    <s v="CAND_0280"/>
    <x v="6"/>
    <x v="2"/>
    <x v="276"/>
    <s v="Experienced mobile developer with 3 years working with critical thinking, adaptability, mobile"/>
    <x v="19"/>
    <n v="1"/>
    <x v="4"/>
    <n v="0.33333333333333331"/>
  </r>
  <r>
    <s v="CAND_0281"/>
    <x v="6"/>
    <x v="4"/>
    <x v="277"/>
    <s v="Experienced system administrator with 3 years working with communication, bash, creativity"/>
    <x v="16"/>
    <n v="0"/>
    <x v="1"/>
    <n v="0.4"/>
  </r>
  <r>
    <s v="CAND_0282"/>
    <x v="8"/>
    <x v="2"/>
    <x v="278"/>
    <s v="Experienced content creator with 7 years working with content writing, communication, social media"/>
    <x v="17"/>
    <n v="1"/>
    <x v="4"/>
    <n v="1"/>
  </r>
  <r>
    <s v="CAND_0283"/>
    <x v="3"/>
    <x v="1"/>
    <x v="279"/>
    <s v="Experienced project manager with 8 years working with stakeholder management, teamwork, creativity"/>
    <x v="4"/>
    <n v="0"/>
    <x v="2"/>
    <n v="0.875"/>
  </r>
  <r>
    <s v="CAND_0284"/>
    <x v="6"/>
    <x v="1"/>
    <x v="280"/>
    <s v="Experienced web developer with 3 years working with critical thinking, teamwork, react"/>
    <x v="13"/>
    <n v="0"/>
    <x v="0"/>
    <n v="0.5"/>
  </r>
  <r>
    <s v="CAND_0285"/>
    <x v="1"/>
    <x v="2"/>
    <x v="281"/>
    <s v="Experienced backend developer with 9 years working with kubernetes, java, c#"/>
    <x v="11"/>
    <n v="0"/>
    <x v="5"/>
    <n v="1"/>
  </r>
  <r>
    <s v="CAND_0286"/>
    <x v="9"/>
    <x v="0"/>
    <x v="282"/>
    <s v="Experienced fullstack developer with 12 years working with adaptability, docker, teamwork"/>
    <x v="0"/>
    <n v="1"/>
    <x v="0"/>
    <n v="0.5"/>
  </r>
  <r>
    <s v="CAND_0287"/>
    <x v="12"/>
    <x v="2"/>
    <x v="283"/>
    <s v="Experienced data scientist with 6 years working with machine learning, scipy, communication"/>
    <x v="5"/>
    <n v="0"/>
    <x v="0"/>
    <n v="0.5"/>
  </r>
  <r>
    <s v="CAND_0288"/>
    <x v="2"/>
    <x v="0"/>
    <x v="284"/>
    <s v="Experienced system administrator with 0 years working with critical thinking, problem solving, security"/>
    <x v="16"/>
    <n v="0"/>
    <x v="1"/>
    <n v="0.4"/>
  </r>
  <r>
    <s v="CAND_0289"/>
    <x v="10"/>
    <x v="3"/>
    <x v="285"/>
    <s v="Experienced devops engineer with 10 years working with critical thinking, problem solving, time management"/>
    <x v="7"/>
    <n v="0"/>
    <x v="0"/>
    <n v="1"/>
  </r>
  <r>
    <s v="CAND_0290"/>
    <x v="1"/>
    <x v="4"/>
    <x v="286"/>
    <s v="Experienced mobile developer with 9 years working with google play, adaptability, swift"/>
    <x v="19"/>
    <n v="0"/>
    <x v="4"/>
    <n v="0.33333333333333331"/>
  </r>
  <r>
    <s v="CAND_0291"/>
    <x v="7"/>
    <x v="4"/>
    <x v="287"/>
    <s v="Experienced designer with 4 years working with adobe creative suite, design, problem solving"/>
    <x v="1"/>
    <n v="1"/>
    <x v="1"/>
    <n v="0.6"/>
  </r>
  <r>
    <s v="CAND_0292"/>
    <x v="4"/>
    <x v="0"/>
    <x v="288"/>
    <s v="Experienced data scientist with 1 years working with python, adaptability, leadership"/>
    <x v="5"/>
    <n v="1"/>
    <x v="0"/>
    <n v="0.5"/>
  </r>
  <r>
    <s v="CAND_0293"/>
    <x v="6"/>
    <x v="3"/>
    <x v="289"/>
    <s v="Experienced fullstack developer with 3 years working with python, docker, time management"/>
    <x v="0"/>
    <n v="1"/>
    <x v="0"/>
    <n v="0.5"/>
  </r>
  <r>
    <s v="CAND_0294"/>
    <x v="0"/>
    <x v="1"/>
    <x v="290"/>
    <s v="Experienced software developer with 2 years working with creativity, programming, leadership"/>
    <x v="3"/>
    <n v="1"/>
    <x v="3"/>
    <n v="0.7142857142857143"/>
  </r>
  <r>
    <s v="CAND_0295"/>
    <x v="10"/>
    <x v="0"/>
    <x v="291"/>
    <s v="Experienced system administrator with 10 years working with security, teamwork, powershell"/>
    <x v="16"/>
    <n v="0"/>
    <x v="1"/>
    <n v="0.4"/>
  </r>
  <r>
    <s v="CAND_0296"/>
    <x v="2"/>
    <x v="0"/>
    <x v="292"/>
    <s v="Experienced business analyst with 0 years working with python, adaptability, communication"/>
    <x v="2"/>
    <n v="1"/>
    <x v="2"/>
    <n v="0.5"/>
  </r>
  <r>
    <s v="CAND_0297"/>
    <x v="12"/>
    <x v="0"/>
    <x v="293"/>
    <s v="Experienced developer with 6 years working with python, testing, java"/>
    <x v="9"/>
    <n v="1"/>
    <x v="5"/>
    <n v="0.5"/>
  </r>
  <r>
    <s v="CAND_0298"/>
    <x v="0"/>
    <x v="0"/>
    <x v="294"/>
    <s v="Experienced fullstack developer with 2 years working with critical thinking, adaptability, docker"/>
    <x v="0"/>
    <n v="0"/>
    <x v="0"/>
    <n v="0.5"/>
  </r>
  <r>
    <s v="CAND_0299"/>
    <x v="8"/>
    <x v="1"/>
    <x v="295"/>
    <s v="Experienced content creator with 7 years working with graphic design, seo, copywriting"/>
    <x v="17"/>
    <n v="0"/>
    <x v="4"/>
    <n v="1"/>
  </r>
  <r>
    <s v="CAND_0300"/>
    <x v="4"/>
    <x v="4"/>
    <x v="296"/>
    <s v="Experienced developer with 1 years working with critical thinking, testing, java"/>
    <x v="9"/>
    <n v="1"/>
    <x v="5"/>
    <n v="0.5"/>
  </r>
  <r>
    <s v="CAND_0301"/>
    <x v="7"/>
    <x v="2"/>
    <x v="297"/>
    <s v="Experienced data scientist with 4 years working with pandas, communication, hadoop"/>
    <x v="5"/>
    <n v="0"/>
    <x v="0"/>
    <n v="0.5"/>
  </r>
  <r>
    <s v="CAND_0302"/>
    <x v="2"/>
    <x v="4"/>
    <x v="298"/>
    <s v="Experienced devops engineer with 0 years working with problem solving, docker, linux"/>
    <x v="7"/>
    <n v="1"/>
    <x v="0"/>
    <n v="1"/>
  </r>
  <r>
    <s v="CAND_0303"/>
    <x v="7"/>
    <x v="3"/>
    <x v="299"/>
    <s v="Experienced system administrator with 4 years working with critical thinking, linux, communication"/>
    <x v="16"/>
    <n v="1"/>
    <x v="1"/>
    <n v="0.4"/>
  </r>
  <r>
    <s v="CAND_0304"/>
    <x v="6"/>
    <x v="0"/>
    <x v="300"/>
    <s v="Experienced qa engineer with 3 years working with adaptability, communication, testing"/>
    <x v="20"/>
    <n v="1"/>
    <x v="4"/>
    <n v="0.66666666666666663"/>
  </r>
  <r>
    <s v="CAND_0305"/>
    <x v="8"/>
    <x v="1"/>
    <x v="301"/>
    <s v="Experienced qa engineer with 7 years working with testing, time management, leadership"/>
    <x v="20"/>
    <n v="1"/>
    <x v="4"/>
    <n v="0.66666666666666663"/>
  </r>
  <r>
    <s v="CAND_0306"/>
    <x v="8"/>
    <x v="0"/>
    <x v="302"/>
    <s v="Experienced data scientist with 7 years working with python, communication, statistics"/>
    <x v="5"/>
    <n v="1"/>
    <x v="0"/>
    <n v="0.5"/>
  </r>
  <r>
    <s v="CAND_0307"/>
    <x v="6"/>
    <x v="1"/>
    <x v="303"/>
    <s v="Experienced fullstack developer with 3 years working with communication, devops, react"/>
    <x v="0"/>
    <n v="0"/>
    <x v="0"/>
    <n v="0.5"/>
  </r>
  <r>
    <s v="CAND_0308"/>
    <x v="12"/>
    <x v="2"/>
    <x v="304"/>
    <s v="Experienced designer with 6 years working with adobe creative suite, time management, creativity"/>
    <x v="1"/>
    <n v="1"/>
    <x v="1"/>
    <n v="0.6"/>
  </r>
  <r>
    <s v="CAND_0309"/>
    <x v="1"/>
    <x v="1"/>
    <x v="305"/>
    <s v="Experienced fullstack developer with 9 years working with communication, docker, devops"/>
    <x v="0"/>
    <n v="1"/>
    <x v="0"/>
    <n v="0.5"/>
  </r>
  <r>
    <s v="CAND_0310"/>
    <x v="3"/>
    <x v="1"/>
    <x v="306"/>
    <s v="Experienced analyst with 8 years working with problem solving, adaptability, time management"/>
    <x v="12"/>
    <n v="0"/>
    <x v="7"/>
    <n v="0.5"/>
  </r>
  <r>
    <s v="CAND_0311"/>
    <x v="3"/>
    <x v="3"/>
    <x v="307"/>
    <s v="Experienced system administrator with 8 years working with linux, windows, bash"/>
    <x v="16"/>
    <n v="1"/>
    <x v="1"/>
    <n v="0.4"/>
  </r>
  <r>
    <s v="CAND_0312"/>
    <x v="0"/>
    <x v="0"/>
    <x v="308"/>
    <s v="Experienced graphic designer with 2 years working with adaptability, web design, adobe creative suite"/>
    <x v="8"/>
    <n v="1"/>
    <x v="4"/>
    <n v="0.66666666666666663"/>
  </r>
  <r>
    <s v="CAND_0313"/>
    <x v="1"/>
    <x v="1"/>
    <x v="309"/>
    <s v="Experienced software developer with 9 years working with creativity, ci/cd, communication"/>
    <x v="3"/>
    <n v="1"/>
    <x v="3"/>
    <n v="0.7142857142857143"/>
  </r>
  <r>
    <s v="CAND_0314"/>
    <x v="2"/>
    <x v="1"/>
    <x v="310"/>
    <s v="Experienced system administrator with 0 years working with critical thinking, bash, communication"/>
    <x v="16"/>
    <n v="0"/>
    <x v="1"/>
    <n v="0.4"/>
  </r>
  <r>
    <s v="CAND_0315"/>
    <x v="0"/>
    <x v="2"/>
    <x v="311"/>
    <s v="Experienced data scientist with 2 years working with hadoop, deep learning, teamwork"/>
    <x v="5"/>
    <n v="0"/>
    <x v="0"/>
    <n v="0.5"/>
  </r>
  <r>
    <s v="CAND_0316"/>
    <x v="8"/>
    <x v="1"/>
    <x v="312"/>
    <s v="Experienced graphic designer with 7 years working with communication, web design, adobe creative suite"/>
    <x v="8"/>
    <n v="1"/>
    <x v="4"/>
    <n v="0.66666666666666663"/>
  </r>
  <r>
    <s v="CAND_0317"/>
    <x v="1"/>
    <x v="0"/>
    <x v="313"/>
    <s v="Experienced content creator with 9 years working with content writing, adaptability, communication"/>
    <x v="17"/>
    <n v="1"/>
    <x v="4"/>
    <n v="1"/>
  </r>
  <r>
    <s v="CAND_0318"/>
    <x v="2"/>
    <x v="1"/>
    <x v="314"/>
    <s v="Experienced designer with 0 years working with problem solving, design, ui/ux"/>
    <x v="1"/>
    <n v="1"/>
    <x v="1"/>
    <n v="0.6"/>
  </r>
  <r>
    <s v="CAND_0319"/>
    <x v="0"/>
    <x v="0"/>
    <x v="315"/>
    <s v="Experienced backend developer with 2 years working with api, c#, leadership"/>
    <x v="11"/>
    <n v="1"/>
    <x v="5"/>
    <n v="1"/>
  </r>
  <r>
    <s v="CAND_0320"/>
    <x v="8"/>
    <x v="0"/>
    <x v="316"/>
    <s v="Experienced data analyst with 7 years working with adaptability, pandas, time management"/>
    <x v="10"/>
    <n v="0"/>
    <x v="6"/>
    <n v="0.63636363636363635"/>
  </r>
  <r>
    <s v="CAND_0321"/>
    <x v="8"/>
    <x v="4"/>
    <x v="317"/>
    <s v="Experienced backend developer with 7 years working with docker, leadership, azure"/>
    <x v="11"/>
    <n v="0"/>
    <x v="5"/>
    <n v="1"/>
  </r>
  <r>
    <s v="CAND_0322"/>
    <x v="0"/>
    <x v="4"/>
    <x v="318"/>
    <s v="Experienced frontend developer with 2 years working with adaptability, time management, responsive design"/>
    <x v="6"/>
    <n v="0"/>
    <x v="2"/>
    <n v="0.625"/>
  </r>
  <r>
    <s v="CAND_0323"/>
    <x v="6"/>
    <x v="1"/>
    <x v="319"/>
    <s v="Experienced devops engineer with 3 years working with communication, time management, creativity"/>
    <x v="7"/>
    <n v="0"/>
    <x v="0"/>
    <n v="1"/>
  </r>
  <r>
    <s v="CAND_0324"/>
    <x v="8"/>
    <x v="3"/>
    <x v="320"/>
    <s v="Experienced qa engineer with 7 years working with adaptability, testing, creativity"/>
    <x v="20"/>
    <n v="1"/>
    <x v="4"/>
    <n v="0.66666666666666663"/>
  </r>
  <r>
    <s v="CAND_0325"/>
    <x v="3"/>
    <x v="3"/>
    <x v="321"/>
    <s v="Experienced analyst with 8 years working with critical thinking, data analysis, excel"/>
    <x v="12"/>
    <n v="1"/>
    <x v="7"/>
    <n v="0.5"/>
  </r>
  <r>
    <s v="CAND_0326"/>
    <x v="6"/>
    <x v="4"/>
    <x v="322"/>
    <s v="Experienced content creator with 3 years working with graphic design, seo, content writing"/>
    <x v="17"/>
    <n v="1"/>
    <x v="4"/>
    <n v="1"/>
  </r>
  <r>
    <s v="CAND_0327"/>
    <x v="1"/>
    <x v="3"/>
    <x v="323"/>
    <s v="Experienced backend developer with 9 years working with adaptability, communication, c#"/>
    <x v="11"/>
    <n v="0"/>
    <x v="5"/>
    <n v="1"/>
  </r>
  <r>
    <s v="CAND_0328"/>
    <x v="3"/>
    <x v="3"/>
    <x v="324"/>
    <s v="Experienced project manager with 8 years working with critical thinking, confluence"/>
    <x v="4"/>
    <n v="0"/>
    <x v="2"/>
    <n v="0.875"/>
  </r>
  <r>
    <s v="CAND_0329"/>
    <x v="6"/>
    <x v="1"/>
    <x v="325"/>
    <s v="Experienced designer with 3 years working with ui/ux, adaptability, leadership"/>
    <x v="1"/>
    <n v="1"/>
    <x v="1"/>
    <n v="0.6"/>
  </r>
  <r>
    <s v="CAND_0330"/>
    <x v="12"/>
    <x v="4"/>
    <x v="326"/>
    <s v="Experienced product manager with 6 years working with communication, technical skills, roadmap planning"/>
    <x v="14"/>
    <n v="1"/>
    <x v="0"/>
    <n v="0.25"/>
  </r>
  <r>
    <s v="CAND_0331"/>
    <x v="5"/>
    <x v="3"/>
    <x v="327"/>
    <s v="Experienced software developer with 5 years working with time management, creativity, programming"/>
    <x v="3"/>
    <n v="1"/>
    <x v="3"/>
    <n v="0.7142857142857143"/>
  </r>
  <r>
    <s v="CAND_0332"/>
    <x v="3"/>
    <x v="1"/>
    <x v="328"/>
    <s v="Experienced frontend developer with 8 years working with critical thinking, css, javascript"/>
    <x v="6"/>
    <n v="1"/>
    <x v="2"/>
    <n v="0.625"/>
  </r>
  <r>
    <s v="CAND_0333"/>
    <x v="1"/>
    <x v="1"/>
    <x v="329"/>
    <s v="Experienced backend developer with 9 years working with critical thinking, python, api"/>
    <x v="11"/>
    <n v="1"/>
    <x v="5"/>
    <n v="1"/>
  </r>
  <r>
    <s v="CAND_0334"/>
    <x v="2"/>
    <x v="3"/>
    <x v="330"/>
    <s v="Experienced digital marketer with 0 years working with digital marketing, creativity, content marketing"/>
    <x v="18"/>
    <n v="1"/>
    <x v="4"/>
    <n v="1"/>
  </r>
  <r>
    <s v="CAND_0335"/>
    <x v="6"/>
    <x v="4"/>
    <x v="331"/>
    <s v="Experienced project manager with 3 years working with time management, creativity, leadership"/>
    <x v="4"/>
    <n v="1"/>
    <x v="2"/>
    <n v="0.875"/>
  </r>
  <r>
    <s v="CAND_0336"/>
    <x v="6"/>
    <x v="4"/>
    <x v="332"/>
    <s v="Experienced data analyst with 3 years working with time management, statistics, data visualization"/>
    <x v="10"/>
    <n v="0"/>
    <x v="6"/>
    <n v="0.63636363636363635"/>
  </r>
  <r>
    <s v="CAND_0337"/>
    <x v="7"/>
    <x v="0"/>
    <x v="333"/>
    <s v="Experienced analyst with 4 years working with critical thinking, data analysis, excel"/>
    <x v="12"/>
    <n v="1"/>
    <x v="7"/>
    <n v="0.5"/>
  </r>
  <r>
    <s v="CAND_0338"/>
    <x v="2"/>
    <x v="0"/>
    <x v="334"/>
    <s v="Experienced system administrator with 0 years working with linux, windows, leadership"/>
    <x v="16"/>
    <n v="1"/>
    <x v="1"/>
    <n v="0.4"/>
  </r>
  <r>
    <s v="CAND_0339"/>
    <x v="0"/>
    <x v="1"/>
    <x v="335"/>
    <s v="Experienced ui ux designer with 2 years working with design, ui/ux, communication"/>
    <x v="15"/>
    <n v="1"/>
    <x v="5"/>
    <n v="1"/>
  </r>
  <r>
    <s v="CAND_0340"/>
    <x v="0"/>
    <x v="3"/>
    <x v="336"/>
    <s v="Experienced data scientist with 2 years working with communication, statistics, spark"/>
    <x v="5"/>
    <n v="0"/>
    <x v="0"/>
    <n v="0.5"/>
  </r>
  <r>
    <s v="CAND_0341"/>
    <x v="3"/>
    <x v="3"/>
    <x v="337"/>
    <s v="Experienced product manager with 8 years working with leadership, technical skills, roadmap planning"/>
    <x v="14"/>
    <n v="0"/>
    <x v="0"/>
    <n v="0.25"/>
  </r>
  <r>
    <s v="CAND_0342"/>
    <x v="3"/>
    <x v="0"/>
    <x v="338"/>
    <s v="Experienced data scientist with 8 years working with deep learning, creativity, time management"/>
    <x v="5"/>
    <n v="0"/>
    <x v="0"/>
    <n v="0.5"/>
  </r>
  <r>
    <s v="CAND_0343"/>
    <x v="6"/>
    <x v="4"/>
    <x v="339"/>
    <s v="Experienced fullstack developer with 3 years working with adaptability, problem solving, devops"/>
    <x v="0"/>
    <n v="0"/>
    <x v="0"/>
    <n v="0.5"/>
  </r>
  <r>
    <s v="CAND_0344"/>
    <x v="0"/>
    <x v="4"/>
    <x v="340"/>
    <s v="Experienced devops engineer with 2 years working with critical thinking, linux, docker"/>
    <x v="7"/>
    <n v="1"/>
    <x v="0"/>
    <n v="1"/>
  </r>
  <r>
    <s v="CAND_0345"/>
    <x v="2"/>
    <x v="1"/>
    <x v="341"/>
    <s v="Experienced data scientist with 0 years working with problem solving, python, teamwork"/>
    <x v="5"/>
    <n v="1"/>
    <x v="0"/>
    <n v="0.5"/>
  </r>
  <r>
    <s v="CAND_0346"/>
    <x v="8"/>
    <x v="4"/>
    <x v="144"/>
    <s v="Experienced designer with 7 years working with problem solving"/>
    <x v="1"/>
    <n v="0"/>
    <x v="1"/>
    <n v="0.6"/>
  </r>
  <r>
    <s v="CAND_0347"/>
    <x v="2"/>
    <x v="2"/>
    <x v="342"/>
    <s v="Experienced mobile developer with 0 years working with react native, java, firebase"/>
    <x v="19"/>
    <n v="0"/>
    <x v="4"/>
    <n v="0.33333333333333331"/>
  </r>
  <r>
    <s v="CAND_0348"/>
    <x v="4"/>
    <x v="1"/>
    <x v="343"/>
    <s v="Experienced digital marketer with 1 years working with digital marketing, time management, creativity"/>
    <x v="18"/>
    <n v="1"/>
    <x v="4"/>
    <n v="1"/>
  </r>
  <r>
    <s v="CAND_0349"/>
    <x v="12"/>
    <x v="1"/>
    <x v="344"/>
    <s v="Experienced fullstack developer with 6 years working with critical thinking, creativity, aws"/>
    <x v="0"/>
    <n v="0"/>
    <x v="0"/>
    <n v="0.5"/>
  </r>
  <r>
    <s v="CAND_0350"/>
    <x v="11"/>
    <x v="1"/>
    <x v="345"/>
    <s v="Experienced fullstack developer with 11 years working with python, docker, creativity"/>
    <x v="0"/>
    <n v="1"/>
    <x v="0"/>
    <n v="0.5"/>
  </r>
  <r>
    <s v="CAND_0351"/>
    <x v="5"/>
    <x v="2"/>
    <x v="346"/>
    <s v="Experienced data analyst with 5 years working with python, pandas, communication"/>
    <x v="10"/>
    <n v="1"/>
    <x v="6"/>
    <n v="0.63636363636363635"/>
  </r>
  <r>
    <s v="CAND_0352"/>
    <x v="3"/>
    <x v="4"/>
    <x v="347"/>
    <s v="Experienced business analyst with 8 years working with critical thinking, communication, powerbi"/>
    <x v="2"/>
    <n v="0"/>
    <x v="2"/>
    <n v="0.5"/>
  </r>
  <r>
    <s v="CAND_0353"/>
    <x v="6"/>
    <x v="2"/>
    <x v="348"/>
    <s v="Experienced analyst with 3 years working with communication, time management, statistics"/>
    <x v="12"/>
    <n v="0"/>
    <x v="7"/>
    <n v="0.5"/>
  </r>
  <r>
    <s v="CAND_0354"/>
    <x v="12"/>
    <x v="3"/>
    <x v="349"/>
    <s v="Experienced mobile developer with 6 years working with critical thinking, communication, swift"/>
    <x v="19"/>
    <n v="1"/>
    <x v="4"/>
    <n v="0.33333333333333331"/>
  </r>
  <r>
    <s v="CAND_0355"/>
    <x v="10"/>
    <x v="4"/>
    <x v="350"/>
    <s v="Experienced digital marketer with 10 years working with digital marketing, conversion optimization, sem"/>
    <x v="18"/>
    <n v="1"/>
    <x v="4"/>
    <n v="1"/>
  </r>
  <r>
    <s v="CAND_0356"/>
    <x v="4"/>
    <x v="1"/>
    <x v="351"/>
    <s v="Experienced ui ux designer with 1 years working with problem solving, sketch, prototyping"/>
    <x v="15"/>
    <n v="0"/>
    <x v="5"/>
    <n v="1"/>
  </r>
  <r>
    <s v="CAND_0357"/>
    <x v="12"/>
    <x v="4"/>
    <x v="352"/>
    <s v="Experienced ui ux designer with 6 years working with ui/ux, user research, leadership"/>
    <x v="15"/>
    <n v="1"/>
    <x v="5"/>
    <n v="1"/>
  </r>
  <r>
    <s v="CAND_0358"/>
    <x v="4"/>
    <x v="3"/>
    <x v="353"/>
    <s v="Experienced devops engineer with 1 years working with leadership, gitlab ci, ansible"/>
    <x v="7"/>
    <n v="0"/>
    <x v="0"/>
    <n v="1"/>
  </r>
  <r>
    <s v="CAND_0359"/>
    <x v="12"/>
    <x v="4"/>
    <x v="354"/>
    <s v="Experienced devops engineer with 6 years working with problem solving, docker, linux"/>
    <x v="7"/>
    <n v="1"/>
    <x v="0"/>
    <n v="1"/>
  </r>
  <r>
    <s v="CAND_0360"/>
    <x v="5"/>
    <x v="0"/>
    <x v="100"/>
    <s v="Experienced data scientist with 5 years working with critical thinking"/>
    <x v="5"/>
    <n v="0"/>
    <x v="0"/>
    <n v="0.5"/>
  </r>
  <r>
    <s v="CAND_0361"/>
    <x v="4"/>
    <x v="4"/>
    <x v="355"/>
    <s v="Experienced graphic designer with 1 years working with color theory, problem solving, web design"/>
    <x v="8"/>
    <n v="0"/>
    <x v="4"/>
    <n v="0.66666666666666663"/>
  </r>
  <r>
    <s v="CAND_0362"/>
    <x v="8"/>
    <x v="1"/>
    <x v="356"/>
    <s v="Experienced project manager with 7 years working with adaptability, communication, project management"/>
    <x v="4"/>
    <n v="1"/>
    <x v="2"/>
    <n v="0.875"/>
  </r>
  <r>
    <s v="CAND_0363"/>
    <x v="6"/>
    <x v="2"/>
    <x v="357"/>
    <s v="Experienced fullstack developer with 3 years working with python, leadership, postgresql"/>
    <x v="0"/>
    <n v="1"/>
    <x v="0"/>
    <n v="0.5"/>
  </r>
  <r>
    <s v="CAND_0364"/>
    <x v="6"/>
    <x v="0"/>
    <x v="358"/>
    <s v="Experienced fullstack developer with 3 years working with python, docker, teamwork"/>
    <x v="0"/>
    <n v="1"/>
    <x v="0"/>
    <n v="0.5"/>
  </r>
  <r>
    <s v="CAND_0365"/>
    <x v="1"/>
    <x v="0"/>
    <x v="359"/>
    <s v="Experienced fullstack developer with 9 years working with adaptability, javascript, html"/>
    <x v="0"/>
    <n v="1"/>
    <x v="0"/>
    <n v="0.5"/>
  </r>
  <r>
    <s v="CAND_0366"/>
    <x v="0"/>
    <x v="1"/>
    <x v="360"/>
    <s v="Experienced business analyst with 2 years working with python, creativity, excel"/>
    <x v="2"/>
    <n v="1"/>
    <x v="2"/>
    <n v="0.5"/>
  </r>
  <r>
    <s v="CAND_0367"/>
    <x v="4"/>
    <x v="1"/>
    <x v="361"/>
    <s v="Experienced system administrator with 1 years working with linux, windows, creativity"/>
    <x v="16"/>
    <n v="1"/>
    <x v="1"/>
    <n v="0.4"/>
  </r>
  <r>
    <s v="CAND_0368"/>
    <x v="0"/>
    <x v="3"/>
    <x v="362"/>
    <s v="Experienced designer with 2 years working with problem solving, design"/>
    <x v="1"/>
    <n v="1"/>
    <x v="1"/>
    <n v="0.6"/>
  </r>
  <r>
    <s v="CAND_0369"/>
    <x v="9"/>
    <x v="3"/>
    <x v="363"/>
    <s v="Experienced devops engineer with 12 years working with critical thinking, linux, adaptability"/>
    <x v="7"/>
    <n v="1"/>
    <x v="0"/>
    <n v="1"/>
  </r>
  <r>
    <s v="CAND_0370"/>
    <x v="4"/>
    <x v="0"/>
    <x v="364"/>
    <s v="Experienced data analyst with 1 years working with critical thinking, communication, statistics"/>
    <x v="10"/>
    <n v="1"/>
    <x v="6"/>
    <n v="0.63636363636363635"/>
  </r>
  <r>
    <s v="CAND_0371"/>
    <x v="11"/>
    <x v="4"/>
    <x v="365"/>
    <s v="Experienced product manager with 11 years working with communication, technical skills, problem solving"/>
    <x v="14"/>
    <n v="1"/>
    <x v="0"/>
    <n v="0.25"/>
  </r>
  <r>
    <s v="CAND_0372"/>
    <x v="5"/>
    <x v="1"/>
    <x v="366"/>
    <s v="Experienced content creator with 5 years working with graphic design, leadership, wordpress"/>
    <x v="17"/>
    <n v="0"/>
    <x v="4"/>
    <n v="1"/>
  </r>
  <r>
    <s v="CAND_0373"/>
    <x v="1"/>
    <x v="1"/>
    <x v="367"/>
    <s v="Experienced devops engineer with 9 years working with problem solving, docker, linux"/>
    <x v="7"/>
    <n v="1"/>
    <x v="0"/>
    <n v="1"/>
  </r>
  <r>
    <s v="CAND_0374"/>
    <x v="12"/>
    <x v="0"/>
    <x v="368"/>
    <s v="Experienced developer with 6 years working with python, testing, programming"/>
    <x v="9"/>
    <n v="1"/>
    <x v="5"/>
    <n v="0.5"/>
  </r>
  <r>
    <s v="CAND_0375"/>
    <x v="2"/>
    <x v="4"/>
    <x v="369"/>
    <s v="Experienced backend developer with 0 years working with python, adaptability, api"/>
    <x v="11"/>
    <n v="1"/>
    <x v="5"/>
    <n v="1"/>
  </r>
  <r>
    <s v="CAND_0376"/>
    <x v="5"/>
    <x v="0"/>
    <x v="370"/>
    <s v="Experienced graphic designer with 5 years working with illustrator, adobe creative suite, color theory"/>
    <x v="8"/>
    <n v="1"/>
    <x v="4"/>
    <n v="0.66666666666666663"/>
  </r>
  <r>
    <s v="CAND_0377"/>
    <x v="0"/>
    <x v="0"/>
    <x v="371"/>
    <s v="Experienced mobile developer with 2 years working with kotlin, critical thinking, teamwork"/>
    <x v="19"/>
    <n v="0"/>
    <x v="4"/>
    <n v="0.33333333333333331"/>
  </r>
  <r>
    <s v="CAND_0378"/>
    <x v="8"/>
    <x v="3"/>
    <x v="372"/>
    <s v="Experienced qa engineer with 7 years working with communication, time management, problem solving"/>
    <x v="20"/>
    <n v="0"/>
    <x v="4"/>
    <n v="0.66666666666666663"/>
  </r>
  <r>
    <s v="CAND_0379"/>
    <x v="3"/>
    <x v="0"/>
    <x v="373"/>
    <s v="Experienced ui ux designer with 8 years working with adaptability, design, teamwork"/>
    <x v="15"/>
    <n v="1"/>
    <x v="5"/>
    <n v="1"/>
  </r>
  <r>
    <s v="CAND_0380"/>
    <x v="4"/>
    <x v="0"/>
    <x v="374"/>
    <s v="Experienced product manager with 1 years working with communication, technical skills, creativity"/>
    <x v="14"/>
    <n v="1"/>
    <x v="0"/>
    <n v="0.25"/>
  </r>
  <r>
    <s v="CAND_0381"/>
    <x v="0"/>
    <x v="2"/>
    <x v="375"/>
    <s v="Experienced data analyst with 2 years working with excel, data visualization, machine learning"/>
    <x v="10"/>
    <n v="1"/>
    <x v="6"/>
    <n v="0.63636363636363635"/>
  </r>
  <r>
    <s v="CAND_0382"/>
    <x v="12"/>
    <x v="2"/>
    <x v="376"/>
    <s v="Experienced ui ux designer with 6 years working with ui/ux, communication, creativity"/>
    <x v="15"/>
    <n v="1"/>
    <x v="5"/>
    <n v="1"/>
  </r>
  <r>
    <s v="CAND_0383"/>
    <x v="0"/>
    <x v="4"/>
    <x v="377"/>
    <s v="Experienced ui ux designer with 2 years working with ui/ux, adaptability, communication"/>
    <x v="15"/>
    <n v="1"/>
    <x v="5"/>
    <n v="1"/>
  </r>
  <r>
    <s v="CAND_0384"/>
    <x v="12"/>
    <x v="4"/>
    <x v="378"/>
    <s v="Experienced analyst with 6 years working with statistics, data analysis, excel"/>
    <x v="12"/>
    <n v="1"/>
    <x v="7"/>
    <n v="0.5"/>
  </r>
  <r>
    <s v="CAND_0385"/>
    <x v="6"/>
    <x v="2"/>
    <x v="379"/>
    <s v="Experienced devops engineer with 3 years working with linux, adaptability, docker"/>
    <x v="7"/>
    <n v="1"/>
    <x v="0"/>
    <n v="1"/>
  </r>
  <r>
    <s v="CAND_0386"/>
    <x v="7"/>
    <x v="1"/>
    <x v="335"/>
    <s v="Experienced ui ux designer with 4 years working with design, ui/ux, communication"/>
    <x v="15"/>
    <n v="1"/>
    <x v="5"/>
    <n v="1"/>
  </r>
  <r>
    <s v="CAND_0387"/>
    <x v="6"/>
    <x v="0"/>
    <x v="380"/>
    <s v="Experienced content creator with 3 years working with graphic design, seo, copywriting"/>
    <x v="17"/>
    <n v="0"/>
    <x v="4"/>
    <n v="1"/>
  </r>
  <r>
    <s v="CAND_0388"/>
    <x v="7"/>
    <x v="0"/>
    <x v="381"/>
    <s v="Experienced software developer with 4 years working with communication, testing, time management"/>
    <x v="3"/>
    <n v="1"/>
    <x v="3"/>
    <n v="0.7142857142857143"/>
  </r>
  <r>
    <s v="CAND_0389"/>
    <x v="0"/>
    <x v="3"/>
    <x v="382"/>
    <s v="Experienced developer with 2 years working with critical thinking, communication, java"/>
    <x v="9"/>
    <n v="1"/>
    <x v="5"/>
    <n v="0.5"/>
  </r>
  <r>
    <s v="CAND_0390"/>
    <x v="3"/>
    <x v="1"/>
    <x v="383"/>
    <s v="Experienced content creator with 8 years working with time management, communication"/>
    <x v="17"/>
    <n v="0"/>
    <x v="4"/>
    <n v="1"/>
  </r>
  <r>
    <s v="CAND_0391"/>
    <x v="7"/>
    <x v="3"/>
    <x v="384"/>
    <s v="Experienced devops engineer with 4 years working with linux, communication, kubernetes"/>
    <x v="7"/>
    <n v="1"/>
    <x v="0"/>
    <n v="1"/>
  </r>
  <r>
    <s v="CAND_0392"/>
    <x v="8"/>
    <x v="4"/>
    <x v="385"/>
    <s v="Experienced graphic designer with 7 years working with indesign, color theory, creativity"/>
    <x v="8"/>
    <n v="0"/>
    <x v="4"/>
    <n v="0.66666666666666663"/>
  </r>
  <r>
    <s v="CAND_0393"/>
    <x v="6"/>
    <x v="1"/>
    <x v="386"/>
    <s v="Experienced analyst with 3 years working with critical thinking, communication, time management"/>
    <x v="12"/>
    <n v="0"/>
    <x v="7"/>
    <n v="0.5"/>
  </r>
  <r>
    <s v="CAND_0394"/>
    <x v="2"/>
    <x v="0"/>
    <x v="387"/>
    <s v="Experienced qa engineer with 0 years working with critical thinking, adaptability, testing"/>
    <x v="20"/>
    <n v="1"/>
    <x v="4"/>
    <n v="0.66666666666666663"/>
  </r>
  <r>
    <s v="CAND_0395"/>
    <x v="12"/>
    <x v="1"/>
    <x v="388"/>
    <s v="Experienced mobile developer with 6 years working with creativity, swift"/>
    <x v="19"/>
    <n v="0"/>
    <x v="4"/>
    <n v="0.33333333333333331"/>
  </r>
  <r>
    <s v="CAND_0396"/>
    <x v="10"/>
    <x v="1"/>
    <x v="389"/>
    <s v="Experienced backend developer with 10 years working with critical thinking, python, api"/>
    <x v="11"/>
    <n v="1"/>
    <x v="5"/>
    <n v="1"/>
  </r>
  <r>
    <s v="CAND_0397"/>
    <x v="4"/>
    <x v="1"/>
    <x v="390"/>
    <s v="Experienced system administrator with 1 years working with active directory, time management, creativity"/>
    <x v="16"/>
    <n v="0"/>
    <x v="1"/>
    <n v="0.4"/>
  </r>
  <r>
    <s v="CAND_0398"/>
    <x v="12"/>
    <x v="2"/>
    <x v="391"/>
    <s v="Experienced devops engineer with 6 years working with linux, docker, gitlab ci"/>
    <x v="7"/>
    <n v="1"/>
    <x v="0"/>
    <n v="1"/>
  </r>
  <r>
    <s v="CAND_0399"/>
    <x v="6"/>
    <x v="3"/>
    <x v="392"/>
    <s v="Experienced graphic designer with 3 years working with photoshop, critical thinking, illustrator"/>
    <x v="8"/>
    <n v="0"/>
    <x v="4"/>
    <n v="0.66666666666666663"/>
  </r>
  <r>
    <s v="CAND_0400"/>
    <x v="11"/>
    <x v="2"/>
    <x v="393"/>
    <s v="Experienced data scientist with 11 years working with python, communication, deep learning"/>
    <x v="5"/>
    <n v="1"/>
    <x v="0"/>
    <n v="0.5"/>
  </r>
  <r>
    <s v="CAND_0401"/>
    <x v="0"/>
    <x v="3"/>
    <x v="394"/>
    <s v="Experienced project manager with 2 years working with adaptability, jira, communication"/>
    <x v="4"/>
    <n v="1"/>
    <x v="2"/>
    <n v="0.875"/>
  </r>
  <r>
    <s v="CAND_0402"/>
    <x v="6"/>
    <x v="2"/>
    <x v="395"/>
    <s v="Experienced devops engineer with 3 years working with critical thinking, creativity, grafana"/>
    <x v="7"/>
    <n v="0"/>
    <x v="0"/>
    <n v="1"/>
  </r>
  <r>
    <s v="CAND_0403"/>
    <x v="7"/>
    <x v="3"/>
    <x v="396"/>
    <s v="Experienced devops engineer with 4 years working with critical thinking, linux, adaptability"/>
    <x v="7"/>
    <n v="1"/>
    <x v="0"/>
    <n v="1"/>
  </r>
  <r>
    <s v="CAND_0404"/>
    <x v="3"/>
    <x v="0"/>
    <x v="397"/>
    <s v="Experienced graphic designer with 8 years working with adobe creative suite, design, teamwork"/>
    <x v="8"/>
    <n v="1"/>
    <x v="4"/>
    <n v="0.66666666666666663"/>
  </r>
  <r>
    <s v="CAND_0405"/>
    <x v="5"/>
    <x v="2"/>
    <x v="398"/>
    <s v="Experienced web developer with 5 years working with problem solving, time management, adaptability"/>
    <x v="13"/>
    <n v="0"/>
    <x v="0"/>
    <n v="0.5"/>
  </r>
  <r>
    <s v="CAND_0406"/>
    <x v="4"/>
    <x v="1"/>
    <x v="399"/>
    <s v="Experienced mobile developer with 1 years working with critical thinking, java, mobile"/>
    <x v="19"/>
    <n v="1"/>
    <x v="4"/>
    <n v="0.33333333333333331"/>
  </r>
  <r>
    <s v="CAND_0407"/>
    <x v="3"/>
    <x v="2"/>
    <x v="400"/>
    <s v="Experienced web developer with 8 years working with problem solving, css, javascript"/>
    <x v="13"/>
    <n v="1"/>
    <x v="0"/>
    <n v="0.5"/>
  </r>
  <r>
    <s v="CAND_0408"/>
    <x v="2"/>
    <x v="4"/>
    <x v="401"/>
    <s v="Experienced qa engineer with 0 years working with communication, testing, time management"/>
    <x v="20"/>
    <n v="1"/>
    <x v="4"/>
    <n v="0.66666666666666663"/>
  </r>
  <r>
    <s v="CAND_0409"/>
    <x v="0"/>
    <x v="4"/>
    <x v="402"/>
    <s v="Experienced backend developer with 2 years working with api, kubernetes, java"/>
    <x v="11"/>
    <n v="1"/>
    <x v="5"/>
    <n v="1"/>
  </r>
  <r>
    <s v="CAND_0410"/>
    <x v="5"/>
    <x v="4"/>
    <x v="403"/>
    <s v="Experienced devops engineer with 5 years working with linux, adaptability, docker"/>
    <x v="7"/>
    <n v="1"/>
    <x v="0"/>
    <n v="1"/>
  </r>
  <r>
    <s v="CAND_0411"/>
    <x v="12"/>
    <x v="3"/>
    <x v="404"/>
    <s v="Experienced mobile developer with 6 years working with adaptability, react native, java"/>
    <x v="19"/>
    <n v="0"/>
    <x v="4"/>
    <n v="0.33333333333333331"/>
  </r>
  <r>
    <s v="CAND_0412"/>
    <x v="12"/>
    <x v="0"/>
    <x v="405"/>
    <s v="Experienced frontend developer with 6 years working with critical thinking, adaptability, responsive design"/>
    <x v="6"/>
    <n v="0"/>
    <x v="2"/>
    <n v="0.625"/>
  </r>
  <r>
    <s v="CAND_0413"/>
    <x v="3"/>
    <x v="2"/>
    <x v="406"/>
    <s v="Experienced qa engineer with 8 years working with adaptability, testing, time management"/>
    <x v="20"/>
    <n v="1"/>
    <x v="4"/>
    <n v="0.66666666666666663"/>
  </r>
  <r>
    <s v="CAND_0414"/>
    <x v="3"/>
    <x v="0"/>
    <x v="407"/>
    <s v="Experienced frontend developer with 8 years working with react, typescript, vue"/>
    <x v="6"/>
    <n v="1"/>
    <x v="2"/>
    <n v="0.625"/>
  </r>
  <r>
    <s v="CAND_0415"/>
    <x v="3"/>
    <x v="4"/>
    <x v="408"/>
    <s v="Experienced data scientist with 8 years working with numpy, python, critical thinking"/>
    <x v="5"/>
    <n v="1"/>
    <x v="0"/>
    <n v="0.5"/>
  </r>
  <r>
    <s v="CAND_0416"/>
    <x v="12"/>
    <x v="3"/>
    <x v="409"/>
    <s v="Experienced designer with 6 years working with critical thinking, design, prototyping"/>
    <x v="1"/>
    <n v="1"/>
    <x v="1"/>
    <n v="0.6"/>
  </r>
  <r>
    <s v="CAND_0417"/>
    <x v="9"/>
    <x v="4"/>
    <x v="410"/>
    <s v="Experienced devops engineer with 12 years working with linux, kubernetes, docker"/>
    <x v="7"/>
    <n v="1"/>
    <x v="0"/>
    <n v="1"/>
  </r>
  <r>
    <s v="CAND_0418"/>
    <x v="4"/>
    <x v="4"/>
    <x v="411"/>
    <s v="Experienced graphic designer with 1 years working with web design, adobe creative suite, color theory"/>
    <x v="8"/>
    <n v="1"/>
    <x v="4"/>
    <n v="0.66666666666666663"/>
  </r>
  <r>
    <s v="CAND_0419"/>
    <x v="7"/>
    <x v="1"/>
    <x v="412"/>
    <s v="Experienced system administrator with 4 years working with security, networking, powershell"/>
    <x v="16"/>
    <n v="0"/>
    <x v="1"/>
    <n v="0.4"/>
  </r>
  <r>
    <s v="CAND_0420"/>
    <x v="4"/>
    <x v="2"/>
    <x v="413"/>
    <s v="Experienced digital marketer with 1 years working with digital marketing, communication, conversion optimization"/>
    <x v="18"/>
    <n v="1"/>
    <x v="4"/>
    <n v="1"/>
  </r>
  <r>
    <s v="CAND_0421"/>
    <x v="7"/>
    <x v="4"/>
    <x v="414"/>
    <s v="Experienced project manager with 4 years working with critical thinking, jira, stakeholder management"/>
    <x v="4"/>
    <n v="0"/>
    <x v="2"/>
    <n v="0.875"/>
  </r>
  <r>
    <s v="CAND_0422"/>
    <x v="7"/>
    <x v="2"/>
    <x v="415"/>
    <s v="Experienced software developer with 4 years working with leadership, teamwork, time management"/>
    <x v="3"/>
    <n v="0"/>
    <x v="3"/>
    <n v="0.7142857142857143"/>
  </r>
  <r>
    <s v="CAND_0423"/>
    <x v="2"/>
    <x v="0"/>
    <x v="416"/>
    <s v="Experienced data analyst with 0 years working with adaptability, excel, problem solving"/>
    <x v="10"/>
    <n v="1"/>
    <x v="6"/>
    <n v="0.63636363636363635"/>
  </r>
  <r>
    <s v="CAND_0424"/>
    <x v="6"/>
    <x v="3"/>
    <x v="417"/>
    <s v="Experienced backend developer with 3 years working with api, time management, leadership"/>
    <x v="11"/>
    <n v="1"/>
    <x v="5"/>
    <n v="1"/>
  </r>
  <r>
    <s v="CAND_0425"/>
    <x v="2"/>
    <x v="1"/>
    <x v="418"/>
    <s v="Experienced designer with 0 years working with problem solving, design, ui/ux"/>
    <x v="1"/>
    <n v="1"/>
    <x v="1"/>
    <n v="0.6"/>
  </r>
  <r>
    <s v="CAND_0426"/>
    <x v="0"/>
    <x v="2"/>
    <x v="419"/>
    <s v="Experienced qa engineer with 2 years working with adaptability, testing, creativity"/>
    <x v="20"/>
    <n v="1"/>
    <x v="4"/>
    <n v="0.66666666666666663"/>
  </r>
  <r>
    <s v="CAND_0427"/>
    <x v="2"/>
    <x v="3"/>
    <x v="420"/>
    <s v="Experienced designer with 0 years working with teamwork, adaptability, css"/>
    <x v="1"/>
    <n v="0"/>
    <x v="1"/>
    <n v="0.6"/>
  </r>
  <r>
    <s v="CAND_0428"/>
    <x v="4"/>
    <x v="3"/>
    <x v="421"/>
    <s v="Experienced graphic designer with 1 years working with leadership, adaptability, indesign"/>
    <x v="8"/>
    <n v="0"/>
    <x v="4"/>
    <n v="0.66666666666666663"/>
  </r>
  <r>
    <s v="CAND_0429"/>
    <x v="8"/>
    <x v="0"/>
    <x v="422"/>
    <s v="Experienced devops engineer with 7 years working with adaptability, linux, docker"/>
    <x v="7"/>
    <n v="1"/>
    <x v="0"/>
    <n v="1"/>
  </r>
  <r>
    <s v="CAND_0430"/>
    <x v="7"/>
    <x v="3"/>
    <x v="423"/>
    <s v="Experienced mobile developer with 4 years working with adaptability, swift, mobile"/>
    <x v="19"/>
    <n v="1"/>
    <x v="4"/>
    <n v="0.33333333333333331"/>
  </r>
  <r>
    <s v="CAND_0431"/>
    <x v="8"/>
    <x v="4"/>
    <x v="424"/>
    <s v="Experienced digital marketer with 7 years working with digital marketing, seo, adaptability"/>
    <x v="18"/>
    <n v="1"/>
    <x v="4"/>
    <n v="1"/>
  </r>
  <r>
    <s v="CAND_0432"/>
    <x v="4"/>
    <x v="0"/>
    <x v="425"/>
    <s v="Experienced frontend developer with 1 years working with critical thinking, creativity, responsive design"/>
    <x v="6"/>
    <n v="0"/>
    <x v="2"/>
    <n v="0.625"/>
  </r>
  <r>
    <s v="CAND_0433"/>
    <x v="5"/>
    <x v="1"/>
    <x v="426"/>
    <s v="Experienced ui ux designer with 5 years working with critical thinking, user research, communication"/>
    <x v="15"/>
    <n v="0"/>
    <x v="5"/>
    <n v="1"/>
  </r>
  <r>
    <s v="CAND_0434"/>
    <x v="5"/>
    <x v="4"/>
    <x v="427"/>
    <s v="Experienced data analyst with 5 years working with communication, statistics, excel"/>
    <x v="10"/>
    <n v="1"/>
    <x v="6"/>
    <n v="0.63636363636363635"/>
  </r>
  <r>
    <s v="CAND_0435"/>
    <x v="2"/>
    <x v="0"/>
    <x v="428"/>
    <s v="Experienced designer with 0 years working with time management, teamwork"/>
    <x v="1"/>
    <n v="0"/>
    <x v="1"/>
    <n v="0.6"/>
  </r>
  <r>
    <s v="CAND_0436"/>
    <x v="6"/>
    <x v="3"/>
    <x v="429"/>
    <s v="Experienced qa engineer with 3 years working with testing, creativity, api testing"/>
    <x v="20"/>
    <n v="1"/>
    <x v="4"/>
    <n v="0.66666666666666663"/>
  </r>
  <r>
    <s v="CAND_0437"/>
    <x v="4"/>
    <x v="0"/>
    <x v="430"/>
    <s v="Experienced digital marketer with 1 years working with digital marketing, seo, critical thinking"/>
    <x v="18"/>
    <n v="1"/>
    <x v="4"/>
    <n v="1"/>
  </r>
  <r>
    <s v="CAND_0438"/>
    <x v="0"/>
    <x v="1"/>
    <x v="431"/>
    <s v="Experienced software developer with 2 years working with testing, c#, leadership"/>
    <x v="3"/>
    <n v="0"/>
    <x v="3"/>
    <n v="0.7142857142857143"/>
  </r>
  <r>
    <s v="CAND_0439"/>
    <x v="10"/>
    <x v="4"/>
    <x v="432"/>
    <s v="Experienced product manager with 10 years working with adaptability, communication, technical skills"/>
    <x v="14"/>
    <n v="1"/>
    <x v="0"/>
    <n v="0.25"/>
  </r>
  <r>
    <s v="CAND_0440"/>
    <x v="8"/>
    <x v="2"/>
    <x v="433"/>
    <s v="Experienced project manager with 7 years working with jira, communication, project management"/>
    <x v="4"/>
    <n v="1"/>
    <x v="2"/>
    <n v="0.875"/>
  </r>
  <r>
    <s v="CAND_0441"/>
    <x v="4"/>
    <x v="3"/>
    <x v="434"/>
    <s v="Experienced mobile developer with 1 years working with critical thinking, communication, java"/>
    <x v="19"/>
    <n v="1"/>
    <x v="4"/>
    <n v="0.33333333333333331"/>
  </r>
  <r>
    <s v="CAND_0442"/>
    <x v="2"/>
    <x v="4"/>
    <x v="435"/>
    <s v="Experienced designer with 0 years working with design, teamwork, leadership"/>
    <x v="1"/>
    <n v="1"/>
    <x v="1"/>
    <n v="0.6"/>
  </r>
  <r>
    <s v="CAND_0443"/>
    <x v="4"/>
    <x v="1"/>
    <x v="436"/>
    <s v="Experienced data analyst with 1 years working with adaptability, time management, statistics"/>
    <x v="10"/>
    <n v="1"/>
    <x v="6"/>
    <n v="0.63636363636363635"/>
  </r>
  <r>
    <s v="CAND_0444"/>
    <x v="12"/>
    <x v="3"/>
    <x v="437"/>
    <s v="Experienced data scientist with 6 years working with python, adaptability, deep learning"/>
    <x v="5"/>
    <n v="1"/>
    <x v="0"/>
    <n v="0.5"/>
  </r>
  <r>
    <s v="CAND_0445"/>
    <x v="4"/>
    <x v="0"/>
    <x v="438"/>
    <s v="Experienced digital marketer with 1 years working with adaptability, sem, creativity"/>
    <x v="18"/>
    <n v="0"/>
    <x v="4"/>
    <n v="1"/>
  </r>
  <r>
    <s v="CAND_0446"/>
    <x v="2"/>
    <x v="3"/>
    <x v="439"/>
    <s v="Experienced developer with 0 years working with adaptability, teamwork, agile"/>
    <x v="9"/>
    <n v="1"/>
    <x v="5"/>
    <n v="0.5"/>
  </r>
  <r>
    <s v="CAND_0447"/>
    <x v="1"/>
    <x v="3"/>
    <x v="440"/>
    <s v="Experienced digital marketer with 9 years working with digital marketing, seo, communication"/>
    <x v="18"/>
    <n v="1"/>
    <x v="4"/>
    <n v="1"/>
  </r>
  <r>
    <s v="CAND_0448"/>
    <x v="8"/>
    <x v="2"/>
    <x v="441"/>
    <s v="Experienced software developer with 7 years working with java, creativity, c#"/>
    <x v="3"/>
    <n v="0"/>
    <x v="3"/>
    <n v="0.7142857142857143"/>
  </r>
  <r>
    <s v="CAND_0449"/>
    <x v="8"/>
    <x v="4"/>
    <x v="442"/>
    <s v="Experienced ui ux designer with 7 years working with critical thinking, ui/ux, creativity"/>
    <x v="15"/>
    <n v="1"/>
    <x v="5"/>
    <n v="1"/>
  </r>
  <r>
    <s v="CAND_0450"/>
    <x v="3"/>
    <x v="3"/>
    <x v="443"/>
    <s v="Experienced qa engineer with 8 years working with communication, time management, creativity"/>
    <x v="20"/>
    <n v="0"/>
    <x v="4"/>
    <n v="0.66666666666666663"/>
  </r>
  <r>
    <s v="CAND_0451"/>
    <x v="1"/>
    <x v="0"/>
    <x v="444"/>
    <s v="Experienced graphic designer with 9 years working with typography, adobe creative suite, color theory"/>
    <x v="8"/>
    <n v="1"/>
    <x v="4"/>
    <n v="0.66666666666666663"/>
  </r>
  <r>
    <s v="CAND_0452"/>
    <x v="3"/>
    <x v="2"/>
    <x v="76"/>
    <s v="Experienced digital marketer with 8 years working with problem solving, leadership"/>
    <x v="18"/>
    <n v="0"/>
    <x v="4"/>
    <n v="1"/>
  </r>
  <r>
    <s v="CAND_0453"/>
    <x v="8"/>
    <x v="3"/>
    <x v="445"/>
    <s v="Experienced ui ux designer with 7 years working with critical thinking, ui/ux, adaptability"/>
    <x v="15"/>
    <n v="1"/>
    <x v="5"/>
    <n v="1"/>
  </r>
  <r>
    <s v="CAND_0454"/>
    <x v="4"/>
    <x v="4"/>
    <x v="446"/>
    <s v="Experienced project manager with 1 years working with leadership, communication, time management"/>
    <x v="4"/>
    <n v="1"/>
    <x v="2"/>
    <n v="0.875"/>
  </r>
  <r>
    <s v="CAND_0455"/>
    <x v="0"/>
    <x v="1"/>
    <x v="447"/>
    <s v="Experienced software developer with 2 years working with java, time management, programming"/>
    <x v="3"/>
    <n v="1"/>
    <x v="3"/>
    <n v="0.7142857142857143"/>
  </r>
  <r>
    <s v="CAND_0456"/>
    <x v="4"/>
    <x v="2"/>
    <x v="448"/>
    <s v="Experienced backend developer with 1 years working with go, docker, adaptability"/>
    <x v="11"/>
    <n v="0"/>
    <x v="5"/>
    <n v="1"/>
  </r>
  <r>
    <s v="CAND_0457"/>
    <x v="4"/>
    <x v="2"/>
    <x v="449"/>
    <s v="Experienced mobile developer with 1 years working with communication, swift, java"/>
    <x v="19"/>
    <n v="1"/>
    <x v="4"/>
    <n v="0.33333333333333331"/>
  </r>
  <r>
    <s v="CAND_0458"/>
    <x v="9"/>
    <x v="3"/>
    <x v="450"/>
    <s v="Experienced product manager with 12 years working with critical thinking, communication, technical skills"/>
    <x v="14"/>
    <n v="1"/>
    <x v="0"/>
    <n v="0.25"/>
  </r>
  <r>
    <s v="CAND_0459"/>
    <x v="7"/>
    <x v="2"/>
    <x v="451"/>
    <s v="Experienced ui ux designer with 4 years working with design, ui/ux, communication"/>
    <x v="15"/>
    <n v="1"/>
    <x v="5"/>
    <n v="1"/>
  </r>
  <r>
    <s v="CAND_0460"/>
    <x v="0"/>
    <x v="2"/>
    <x v="452"/>
    <s v="Experienced content creator with 2 years working with content writing, communication, time management"/>
    <x v="17"/>
    <n v="1"/>
    <x v="4"/>
    <n v="1"/>
  </r>
  <r>
    <s v="CAND_0461"/>
    <x v="2"/>
    <x v="4"/>
    <x v="453"/>
    <s v="Experienced system administrator with 0 years working with linux, adaptability, windows"/>
    <x v="16"/>
    <n v="1"/>
    <x v="1"/>
    <n v="0.4"/>
  </r>
  <r>
    <s v="CAND_0462"/>
    <x v="2"/>
    <x v="3"/>
    <x v="454"/>
    <s v="Experienced fullstack developer with 0 years working with leadership, postgresql, javascript"/>
    <x v="0"/>
    <n v="1"/>
    <x v="0"/>
    <n v="0.5"/>
  </r>
  <r>
    <s v="CAND_0463"/>
    <x v="12"/>
    <x v="1"/>
    <x v="455"/>
    <s v="Experienced product manager with 6 years working with teamwork, leadership, a/b testing"/>
    <x v="14"/>
    <n v="0"/>
    <x v="0"/>
    <n v="0.25"/>
  </r>
  <r>
    <s v="CAND_0464"/>
    <x v="10"/>
    <x v="2"/>
    <x v="456"/>
    <s v="Experienced fullstack developer with 10 years working with devops, creativity, leadership"/>
    <x v="0"/>
    <n v="0"/>
    <x v="0"/>
    <n v="0.5"/>
  </r>
  <r>
    <s v="CAND_0465"/>
    <x v="1"/>
    <x v="0"/>
    <x v="457"/>
    <s v="Experienced frontend developer with 9 years working with responsive design, webpack, teamwork"/>
    <x v="6"/>
    <n v="1"/>
    <x v="2"/>
    <n v="0.625"/>
  </r>
  <r>
    <s v="CAND_0466"/>
    <x v="12"/>
    <x v="2"/>
    <x v="458"/>
    <s v="Experienced data analyst with 6 years working with time management, statistics, leadership"/>
    <x v="10"/>
    <n v="0"/>
    <x v="6"/>
    <n v="0.63636363636363635"/>
  </r>
  <r>
    <s v="CAND_0467"/>
    <x v="4"/>
    <x v="1"/>
    <x v="459"/>
    <s v="Experienced software developer with 1 years working with communication, c#, leadership"/>
    <x v="3"/>
    <n v="0"/>
    <x v="3"/>
    <n v="0.7142857142857143"/>
  </r>
  <r>
    <s v="CAND_0468"/>
    <x v="10"/>
    <x v="3"/>
    <x v="460"/>
    <s v="Experienced graphic designer with 10 years working with illustrator, indesign, communication"/>
    <x v="8"/>
    <n v="0"/>
    <x v="4"/>
    <n v="0.66666666666666663"/>
  </r>
  <r>
    <s v="CAND_0469"/>
    <x v="11"/>
    <x v="4"/>
    <x v="461"/>
    <s v="Experienced devops engineer with 11 years working with linux, adaptability, communication"/>
    <x v="7"/>
    <n v="1"/>
    <x v="0"/>
    <n v="1"/>
  </r>
  <r>
    <s v="CAND_0470"/>
    <x v="2"/>
    <x v="2"/>
    <x v="462"/>
    <s v="Experienced data scientist with 0 years working with teamwork, communication, pytorch"/>
    <x v="5"/>
    <n v="0"/>
    <x v="0"/>
    <n v="0.5"/>
  </r>
  <r>
    <s v="CAND_0471"/>
    <x v="1"/>
    <x v="4"/>
    <x v="463"/>
    <s v="Experienced project manager with 9 years working with adaptability, project management, stakeholder management"/>
    <x v="4"/>
    <n v="1"/>
    <x v="2"/>
    <n v="0.875"/>
  </r>
  <r>
    <s v="CAND_0472"/>
    <x v="4"/>
    <x v="2"/>
    <x v="464"/>
    <s v="Experienced developer with 1 years working with python, agile, time management"/>
    <x v="9"/>
    <n v="0"/>
    <x v="5"/>
    <n v="0.5"/>
  </r>
  <r>
    <s v="CAND_0473"/>
    <x v="12"/>
    <x v="4"/>
    <x v="465"/>
    <s v="Experienced developer with 6 years working with adaptability, creativity"/>
    <x v="9"/>
    <n v="0"/>
    <x v="5"/>
    <n v="0.5"/>
  </r>
  <r>
    <s v="CAND_0474"/>
    <x v="2"/>
    <x v="1"/>
    <x v="466"/>
    <s v="Experienced analyst with 0 years working with statistics, data analysis, excel"/>
    <x v="12"/>
    <n v="1"/>
    <x v="7"/>
    <n v="0.5"/>
  </r>
  <r>
    <s v="CAND_0475"/>
    <x v="0"/>
    <x v="0"/>
    <x v="467"/>
    <s v="Experienced content creator with 2 years working with seo, time management, copywriting"/>
    <x v="17"/>
    <n v="0"/>
    <x v="4"/>
    <n v="1"/>
  </r>
  <r>
    <s v="CAND_0476"/>
    <x v="2"/>
    <x v="4"/>
    <x v="468"/>
    <s v="Experienced business analyst with 0 years working with r, leadership, teamwork"/>
    <x v="2"/>
    <n v="0"/>
    <x v="2"/>
    <n v="0.5"/>
  </r>
  <r>
    <s v="CAND_0477"/>
    <x v="4"/>
    <x v="1"/>
    <x v="469"/>
    <s v="Experienced data analyst with 1 years working with critical thinking, pandas, statistics"/>
    <x v="10"/>
    <n v="1"/>
    <x v="6"/>
    <n v="0.63636363636363635"/>
  </r>
  <r>
    <s v="CAND_0478"/>
    <x v="5"/>
    <x v="2"/>
    <x v="470"/>
    <s v="Experienced web developer with 5 years working with html, typescript, problem solving"/>
    <x v="13"/>
    <n v="1"/>
    <x v="0"/>
    <n v="0.5"/>
  </r>
  <r>
    <s v="CAND_0479"/>
    <x v="4"/>
    <x v="2"/>
    <x v="471"/>
    <s v="Experienced devops engineer with 1 years working with creativity, jenkins"/>
    <x v="7"/>
    <n v="0"/>
    <x v="0"/>
    <n v="1"/>
  </r>
  <r>
    <s v="CAND_0480"/>
    <x v="4"/>
    <x v="4"/>
    <x v="472"/>
    <s v="Experienced graphic designer with 1 years working with critical thinking, indesign, adobe creative suite"/>
    <x v="8"/>
    <n v="1"/>
    <x v="4"/>
    <n v="0.66666666666666663"/>
  </r>
  <r>
    <s v="CAND_0481"/>
    <x v="4"/>
    <x v="3"/>
    <x v="473"/>
    <s v="Experienced qa engineer with 1 years working with selenium, leadership, manual testing"/>
    <x v="20"/>
    <n v="0"/>
    <x v="4"/>
    <n v="0.66666666666666663"/>
  </r>
  <r>
    <s v="CAND_0482"/>
    <x v="4"/>
    <x v="4"/>
    <x v="474"/>
    <s v="Experienced devops engineer with 1 years working with time management, prometheus, communication"/>
    <x v="7"/>
    <n v="0"/>
    <x v="0"/>
    <n v="1"/>
  </r>
  <r>
    <s v="CAND_0483"/>
    <x v="7"/>
    <x v="2"/>
    <x v="475"/>
    <s v="Experienced system administrator with 4 years working with problem solving, active directory, leadership"/>
    <x v="16"/>
    <n v="0"/>
    <x v="1"/>
    <n v="0.4"/>
  </r>
  <r>
    <s v="CAND_0484"/>
    <x v="3"/>
    <x v="3"/>
    <x v="476"/>
    <s v="Experienced web developer with 8 years working with adaptability, time management, webpack"/>
    <x v="13"/>
    <n v="0"/>
    <x v="0"/>
    <n v="0.5"/>
  </r>
  <r>
    <s v="CAND_0485"/>
    <x v="1"/>
    <x v="4"/>
    <x v="477"/>
    <s v="Experienced mobile developer with 9 years working with mobile, creativity, adaptability"/>
    <x v="19"/>
    <n v="1"/>
    <x v="4"/>
    <n v="0.33333333333333331"/>
  </r>
  <r>
    <s v="CAND_0486"/>
    <x v="2"/>
    <x v="4"/>
    <x v="478"/>
    <s v="Experienced frontend developer with 0 years working with time management, creativity, webpack"/>
    <x v="6"/>
    <n v="1"/>
    <x v="2"/>
    <n v="0.625"/>
  </r>
  <r>
    <s v="CAND_0487"/>
    <x v="0"/>
    <x v="3"/>
    <x v="479"/>
    <s v="Experienced developer with 2 years working with python, communication, testing"/>
    <x v="9"/>
    <n v="0"/>
    <x v="5"/>
    <n v="0.5"/>
  </r>
  <r>
    <s v="CAND_0488"/>
    <x v="5"/>
    <x v="3"/>
    <x v="480"/>
    <s v="Experienced product manager with 5 years working with critical thinking, communication, technical skills"/>
    <x v="14"/>
    <n v="1"/>
    <x v="0"/>
    <n v="0.25"/>
  </r>
  <r>
    <s v="CAND_0489"/>
    <x v="2"/>
    <x v="1"/>
    <x v="481"/>
    <s v="Experienced ui ux designer with 0 years working with communication, adobe creative suite, leadership"/>
    <x v="15"/>
    <n v="0"/>
    <x v="5"/>
    <n v="1"/>
  </r>
  <r>
    <s v="CAND_0490"/>
    <x v="10"/>
    <x v="2"/>
    <x v="482"/>
    <s v="Experienced analyst with 10 years working with problem solving, leadership, sql"/>
    <x v="12"/>
    <n v="0"/>
    <x v="7"/>
    <n v="0.5"/>
  </r>
  <r>
    <s v="CAND_0491"/>
    <x v="2"/>
    <x v="4"/>
    <x v="483"/>
    <s v="Experienced graphic designer with 0 years working with illustrator, adobe creative suite, time management"/>
    <x v="8"/>
    <n v="1"/>
    <x v="4"/>
    <n v="0.66666666666666663"/>
  </r>
  <r>
    <s v="CAND_0492"/>
    <x v="8"/>
    <x v="3"/>
    <x v="484"/>
    <s v="Experienced ui ux designer with 7 years working with adaptability, sketch, user research"/>
    <x v="15"/>
    <n v="0"/>
    <x v="5"/>
    <n v="1"/>
  </r>
  <r>
    <s v="CAND_0493"/>
    <x v="2"/>
    <x v="0"/>
    <x v="485"/>
    <s v="Experienced developer with 0 years working with java, creativity, programming"/>
    <x v="9"/>
    <n v="1"/>
    <x v="5"/>
    <n v="0.5"/>
  </r>
  <r>
    <s v="CAND_0494"/>
    <x v="2"/>
    <x v="3"/>
    <x v="486"/>
    <s v="Experienced graphic designer with 0 years working with critical thinking, adobe creative suite, color theory"/>
    <x v="8"/>
    <n v="1"/>
    <x v="4"/>
    <n v="0.66666666666666663"/>
  </r>
  <r>
    <s v="CAND_0495"/>
    <x v="5"/>
    <x v="3"/>
    <x v="487"/>
    <s v="Experienced product manager with 5 years working with critical thinking, communication, technical skills"/>
    <x v="14"/>
    <n v="1"/>
    <x v="0"/>
    <n v="0.25"/>
  </r>
  <r>
    <s v="CAND_0496"/>
    <x v="0"/>
    <x v="2"/>
    <x v="488"/>
    <s v="Experienced designer with 2 years working with communication, creativity, leadership"/>
    <x v="1"/>
    <n v="1"/>
    <x v="1"/>
    <n v="0.6"/>
  </r>
  <r>
    <s v="CAND_0497"/>
    <x v="10"/>
    <x v="4"/>
    <x v="489"/>
    <s v="Experienced web developer with 10 years working with adaptability, mongodb, javascript"/>
    <x v="13"/>
    <n v="1"/>
    <x v="0"/>
    <n v="0.5"/>
  </r>
  <r>
    <s v="CAND_0498"/>
    <x v="2"/>
    <x v="0"/>
    <x v="490"/>
    <s v="Experienced qa engineer with 0 years working with adaptability"/>
    <x v="20"/>
    <n v="0"/>
    <x v="4"/>
    <n v="0.66666666666666663"/>
  </r>
  <r>
    <s v="CAND_0499"/>
    <x v="10"/>
    <x v="4"/>
    <x v="491"/>
    <s v="Experienced digital marketer with 10 years working with digital marketing, email marketing, sem"/>
    <x v="18"/>
    <n v="1"/>
    <x v="4"/>
    <n v="1"/>
  </r>
  <r>
    <s v="CAND_0500"/>
    <x v="2"/>
    <x v="4"/>
    <x v="492"/>
    <s v="Experienced web developer with 0 years working with communication, webpack, vue"/>
    <x v="13"/>
    <n v="0"/>
    <x v="0"/>
    <n v="0.5"/>
  </r>
  <r>
    <s v="CAND_0501"/>
    <x v="11"/>
    <x v="2"/>
    <x v="493"/>
    <s v="Experienced devops engineer with 11 years working with problem solving, leadership, adaptability"/>
    <x v="7"/>
    <n v="0"/>
    <x v="0"/>
    <n v="1"/>
  </r>
  <r>
    <s v="CAND_0502"/>
    <x v="8"/>
    <x v="4"/>
    <x v="494"/>
    <s v="Experienced developer with 7 years working with adaptability, java, creativity"/>
    <x v="9"/>
    <n v="0"/>
    <x v="5"/>
    <n v="0.5"/>
  </r>
  <r>
    <s v="CAND_0503"/>
    <x v="1"/>
    <x v="1"/>
    <x v="495"/>
    <s v="Experienced fullstack developer with 9 years working with communication, react, postgresql"/>
    <x v="0"/>
    <n v="1"/>
    <x v="0"/>
    <n v="0.5"/>
  </r>
  <r>
    <s v="CAND_0504"/>
    <x v="3"/>
    <x v="4"/>
    <x v="100"/>
    <s v="Experienced software developer with 8 years working with critical thinking"/>
    <x v="3"/>
    <n v="0"/>
    <x v="3"/>
    <n v="0.7142857142857143"/>
  </r>
  <r>
    <s v="CAND_0505"/>
    <x v="4"/>
    <x v="1"/>
    <x v="496"/>
    <s v="Experienced content creator with 1 years working with critical thinking, seo, content writing"/>
    <x v="17"/>
    <n v="1"/>
    <x v="4"/>
    <n v="1"/>
  </r>
  <r>
    <s v="CAND_0506"/>
    <x v="0"/>
    <x v="2"/>
    <x v="497"/>
    <s v="Experienced data analyst with 2 years working with pandas, communication, statistics"/>
    <x v="10"/>
    <n v="1"/>
    <x v="6"/>
    <n v="0.63636363636363635"/>
  </r>
  <r>
    <s v="CAND_0507"/>
    <x v="2"/>
    <x v="0"/>
    <x v="498"/>
    <s v="Experienced designer with 0 years working with design, adaptability, prototyping"/>
    <x v="1"/>
    <n v="1"/>
    <x v="1"/>
    <n v="0.6"/>
  </r>
  <r>
    <s v="CAND_0508"/>
    <x v="5"/>
    <x v="4"/>
    <x v="499"/>
    <s v="Experienced devops engineer with 5 years working with linux, docker, creativity"/>
    <x v="7"/>
    <n v="1"/>
    <x v="0"/>
    <n v="1"/>
  </r>
  <r>
    <s v="CAND_0509"/>
    <x v="7"/>
    <x v="4"/>
    <x v="500"/>
    <s v="Experienced software developer with 4 years working with teamwork, c#, creativity"/>
    <x v="3"/>
    <n v="0"/>
    <x v="3"/>
    <n v="0.7142857142857143"/>
  </r>
  <r>
    <s v="CAND_0510"/>
    <x v="4"/>
    <x v="0"/>
    <x v="501"/>
    <s v="Experienced frontend developer with 1 years working with critical thinking, responsive design, leadership"/>
    <x v="6"/>
    <n v="1"/>
    <x v="2"/>
    <n v="0.625"/>
  </r>
  <r>
    <s v="CAND_0511"/>
    <x v="11"/>
    <x v="0"/>
    <x v="502"/>
    <s v="Experienced fullstack developer with 11 years working with critical thinking, communication, devops"/>
    <x v="0"/>
    <n v="1"/>
    <x v="0"/>
    <n v="0.5"/>
  </r>
  <r>
    <s v="CAND_0512"/>
    <x v="8"/>
    <x v="4"/>
    <x v="503"/>
    <s v="Experienced backend developer with 7 years working with python, api, java"/>
    <x v="11"/>
    <n v="1"/>
    <x v="5"/>
    <n v="1"/>
  </r>
  <r>
    <s v="CAND_0513"/>
    <x v="12"/>
    <x v="1"/>
    <x v="504"/>
    <s v="Experienced system administrator with 6 years working with linux, communication, windows"/>
    <x v="16"/>
    <n v="1"/>
    <x v="1"/>
    <n v="0.4"/>
  </r>
  <r>
    <s v="CAND_0514"/>
    <x v="9"/>
    <x v="4"/>
    <x v="505"/>
    <s v="Experienced fullstack developer with 12 years working with teamwork, microservices, devops"/>
    <x v="0"/>
    <n v="0"/>
    <x v="0"/>
    <n v="0.5"/>
  </r>
  <r>
    <s v="CAND_0515"/>
    <x v="2"/>
    <x v="3"/>
    <x v="506"/>
    <s v="Experienced product manager with 0 years working with communication, creativity, user research"/>
    <x v="14"/>
    <n v="1"/>
    <x v="0"/>
    <n v="0.25"/>
  </r>
  <r>
    <s v="CAND_0516"/>
    <x v="3"/>
    <x v="3"/>
    <x v="507"/>
    <s v="Experienced qa engineer with 8 years working with adaptability, testing, performance testing"/>
    <x v="20"/>
    <n v="1"/>
    <x v="4"/>
    <n v="0.66666666666666663"/>
  </r>
  <r>
    <s v="CAND_0517"/>
    <x v="3"/>
    <x v="2"/>
    <x v="508"/>
    <s v="Experienced data scientist with 8 years working with python, adaptability, time management"/>
    <x v="5"/>
    <n v="1"/>
    <x v="0"/>
    <n v="0.5"/>
  </r>
  <r>
    <s v="CAND_0518"/>
    <x v="1"/>
    <x v="0"/>
    <x v="509"/>
    <s v="Experienced ui ux designer with 9 years working with critical thinking, teamwork, creativity"/>
    <x v="15"/>
    <n v="0"/>
    <x v="5"/>
    <n v="1"/>
  </r>
  <r>
    <s v="CAND_0519"/>
    <x v="5"/>
    <x v="3"/>
    <x v="84"/>
    <s v="Experienced product manager with 5 years working with creativity"/>
    <x v="14"/>
    <n v="0"/>
    <x v="0"/>
    <n v="0.25"/>
  </r>
  <r>
    <s v="CAND_0520"/>
    <x v="12"/>
    <x v="4"/>
    <x v="510"/>
    <s v="Experienced data scientist with 6 years working with critical thinking, python, adaptability"/>
    <x v="5"/>
    <n v="1"/>
    <x v="0"/>
    <n v="0.5"/>
  </r>
  <r>
    <s v="CAND_0521"/>
    <x v="12"/>
    <x v="1"/>
    <x v="511"/>
    <s v="Experienced fullstack developer with 6 years working with critical thinking, time management, devops"/>
    <x v="0"/>
    <n v="1"/>
    <x v="0"/>
    <n v="0.5"/>
  </r>
  <r>
    <s v="CAND_0522"/>
    <x v="8"/>
    <x v="0"/>
    <x v="512"/>
    <s v="Experienced fullstack developer with 7 years working with leadership, teamwork, communication"/>
    <x v="0"/>
    <n v="0"/>
    <x v="0"/>
    <n v="0.5"/>
  </r>
  <r>
    <s v="CAND_0523"/>
    <x v="2"/>
    <x v="3"/>
    <x v="513"/>
    <s v="Experienced business analyst with 0 years working with adaptability, creativity, excel"/>
    <x v="2"/>
    <n v="1"/>
    <x v="2"/>
    <n v="0.5"/>
  </r>
  <r>
    <s v="CAND_0524"/>
    <x v="5"/>
    <x v="4"/>
    <x v="514"/>
    <s v="Experienced software developer with 5 years working with adaptability, java, time management"/>
    <x v="3"/>
    <n v="0"/>
    <x v="3"/>
    <n v="0.7142857142857143"/>
  </r>
  <r>
    <s v="CAND_0525"/>
    <x v="2"/>
    <x v="1"/>
    <x v="515"/>
    <s v="Experienced ui ux designer with 0 years working with time management, teamwork, html"/>
    <x v="15"/>
    <n v="0"/>
    <x v="5"/>
    <n v="1"/>
  </r>
  <r>
    <s v="CAND_0526"/>
    <x v="12"/>
    <x v="4"/>
    <x v="516"/>
    <s v="Experienced web developer with 6 years working with html, adaptability, webpack"/>
    <x v="13"/>
    <n v="1"/>
    <x v="0"/>
    <n v="0.5"/>
  </r>
  <r>
    <s v="CAND_0527"/>
    <x v="2"/>
    <x v="1"/>
    <x v="517"/>
    <s v="Experienced digital marketer with 0 years working with sem, time management, analytics"/>
    <x v="18"/>
    <n v="0"/>
    <x v="4"/>
    <n v="1"/>
  </r>
  <r>
    <s v="CAND_0528"/>
    <x v="5"/>
    <x v="0"/>
    <x v="518"/>
    <s v="Experienced devops engineer with 5 years working with docker, linux, communication"/>
    <x v="7"/>
    <n v="1"/>
    <x v="0"/>
    <n v="1"/>
  </r>
  <r>
    <s v="CAND_0529"/>
    <x v="0"/>
    <x v="1"/>
    <x v="519"/>
    <s v="Experienced graphic designer with 2 years working with web design, typography, adobe creative suite"/>
    <x v="8"/>
    <n v="1"/>
    <x v="4"/>
    <n v="0.66666666666666663"/>
  </r>
  <r>
    <s v="CAND_0530"/>
    <x v="11"/>
    <x v="3"/>
    <x v="520"/>
    <s v="Experienced web developer with 11 years working with critical thinking, creativity, typescript"/>
    <x v="13"/>
    <n v="0"/>
    <x v="0"/>
    <n v="0.5"/>
  </r>
  <r>
    <s v="CAND_0531"/>
    <x v="4"/>
    <x v="0"/>
    <x v="521"/>
    <s v="Experienced analyst with 1 years working with powerbi, time management, reporting"/>
    <x v="12"/>
    <n v="0"/>
    <x v="7"/>
    <n v="0.5"/>
  </r>
  <r>
    <s v="CAND_0532"/>
    <x v="5"/>
    <x v="2"/>
    <x v="522"/>
    <s v="Experienced system administrator with 5 years working with problem solving, adaptability"/>
    <x v="16"/>
    <n v="0"/>
    <x v="1"/>
    <n v="0.4"/>
  </r>
  <r>
    <s v="CAND_0533"/>
    <x v="0"/>
    <x v="0"/>
    <x v="523"/>
    <s v="Experienced web developer with 2 years working with adaptability, react, vue"/>
    <x v="13"/>
    <n v="1"/>
    <x v="0"/>
    <n v="0.5"/>
  </r>
  <r>
    <s v="CAND_0534"/>
    <x v="3"/>
    <x v="3"/>
    <x v="524"/>
    <s v="Experienced ui ux designer with 8 years working with teamwork, css, communication"/>
    <x v="15"/>
    <n v="0"/>
    <x v="5"/>
    <n v="1"/>
  </r>
  <r>
    <s v="CAND_0535"/>
    <x v="12"/>
    <x v="3"/>
    <x v="525"/>
    <s v="Experienced data scientist with 6 years working with pandas, statistics, creativity"/>
    <x v="5"/>
    <n v="0"/>
    <x v="0"/>
    <n v="0.5"/>
  </r>
  <r>
    <s v="CAND_0536"/>
    <x v="4"/>
    <x v="1"/>
    <x v="526"/>
    <s v="Experienced qa engineer with 1 years working with testing, api testing, performance testing"/>
    <x v="20"/>
    <n v="1"/>
    <x v="4"/>
    <n v="0.66666666666666663"/>
  </r>
  <r>
    <s v="CAND_0537"/>
    <x v="0"/>
    <x v="3"/>
    <x v="527"/>
    <s v="Experienced project manager with 2 years working with jira, project management, leadership"/>
    <x v="4"/>
    <n v="1"/>
    <x v="2"/>
    <n v="0.875"/>
  </r>
  <r>
    <s v="CAND_0538"/>
    <x v="2"/>
    <x v="2"/>
    <x v="528"/>
    <s v="Experienced graphic designer with 0 years working with indesign, illustrator, adobe creative suite"/>
    <x v="8"/>
    <n v="1"/>
    <x v="4"/>
    <n v="0.66666666666666663"/>
  </r>
  <r>
    <s v="CAND_0539"/>
    <x v="2"/>
    <x v="0"/>
    <x v="529"/>
    <s v="Experienced data analyst with 0 years working with pandas, time management, statistics"/>
    <x v="10"/>
    <n v="1"/>
    <x v="6"/>
    <n v="0.63636363636363635"/>
  </r>
  <r>
    <s v="CAND_0540"/>
    <x v="12"/>
    <x v="3"/>
    <x v="530"/>
    <s v="Experienced product manager with 6 years working with critical thinking, communication, technical skills"/>
    <x v="14"/>
    <n v="1"/>
    <x v="0"/>
    <n v="0.25"/>
  </r>
  <r>
    <s v="CAND_0541"/>
    <x v="8"/>
    <x v="1"/>
    <x v="531"/>
    <s v="Experienced mobile developer with 7 years working with mobile, communication, kotlin"/>
    <x v="19"/>
    <n v="1"/>
    <x v="4"/>
    <n v="0.33333333333333331"/>
  </r>
  <r>
    <s v="CAND_0542"/>
    <x v="4"/>
    <x v="4"/>
    <x v="532"/>
    <s v="Experienced system administrator with 1 years working with leadership, creativity, communication"/>
    <x v="16"/>
    <n v="0"/>
    <x v="1"/>
    <n v="0.4"/>
  </r>
  <r>
    <s v="CAND_0543"/>
    <x v="12"/>
    <x v="3"/>
    <x v="533"/>
    <s v="Experienced system administrator with 6 years working with linux, windows, bash"/>
    <x v="16"/>
    <n v="1"/>
    <x v="1"/>
    <n v="0.4"/>
  </r>
  <r>
    <s v="CAND_0544"/>
    <x v="2"/>
    <x v="0"/>
    <x v="534"/>
    <s v="Experienced graphic designer with 0 years working with illustrator, indesign, web design"/>
    <x v="8"/>
    <n v="1"/>
    <x v="4"/>
    <n v="0.66666666666666663"/>
  </r>
  <r>
    <s v="CAND_0545"/>
    <x v="5"/>
    <x v="0"/>
    <x v="535"/>
    <s v="Experienced digital marketer with 5 years working with time management, creativity, facebook ads"/>
    <x v="18"/>
    <n v="0"/>
    <x v="4"/>
    <n v="1"/>
  </r>
  <r>
    <s v="CAND_0546"/>
    <x v="4"/>
    <x v="2"/>
    <x v="536"/>
    <s v="Experienced system administrator with 1 years working with adaptability, monitoring, critical thinking"/>
    <x v="16"/>
    <n v="0"/>
    <x v="1"/>
    <n v="0.4"/>
  </r>
  <r>
    <s v="CAND_0547"/>
    <x v="1"/>
    <x v="4"/>
    <x v="537"/>
    <s v="Experienced analyst with 9 years working with problem solving, data analysis, excel"/>
    <x v="12"/>
    <n v="1"/>
    <x v="7"/>
    <n v="0.5"/>
  </r>
  <r>
    <s v="CAND_0548"/>
    <x v="4"/>
    <x v="1"/>
    <x v="538"/>
    <s v="Experienced qa engineer with 1 years working with testing, time management, problem solving"/>
    <x v="20"/>
    <n v="1"/>
    <x v="4"/>
    <n v="0.66666666666666663"/>
  </r>
  <r>
    <s v="CAND_0549"/>
    <x v="0"/>
    <x v="4"/>
    <x v="539"/>
    <s v="Experienced project manager with 2 years working with critical thinking, communication, project management"/>
    <x v="4"/>
    <n v="1"/>
    <x v="2"/>
    <n v="0.875"/>
  </r>
  <r>
    <s v="CAND_0550"/>
    <x v="0"/>
    <x v="1"/>
    <x v="540"/>
    <s v="Experienced designer with 2 years working with critical thinking, design, leadership"/>
    <x v="1"/>
    <n v="1"/>
    <x v="1"/>
    <n v="0.6"/>
  </r>
  <r>
    <s v="CAND_0551"/>
    <x v="2"/>
    <x v="3"/>
    <x v="541"/>
    <s v="Experienced project manager with 0 years working with critical thinking, creativity, stakeholder management"/>
    <x v="4"/>
    <n v="0"/>
    <x v="2"/>
    <n v="0.875"/>
  </r>
  <r>
    <s v="CAND_0552"/>
    <x v="0"/>
    <x v="3"/>
    <x v="542"/>
    <s v="Experienced frontend developer with 2 years working with communication, react, vue"/>
    <x v="6"/>
    <n v="0"/>
    <x v="2"/>
    <n v="0.625"/>
  </r>
  <r>
    <s v="CAND_0553"/>
    <x v="1"/>
    <x v="2"/>
    <x v="543"/>
    <s v="Experienced ui ux designer with 9 years working with critical thinking, ui/ux, adobe creative suite"/>
    <x v="15"/>
    <n v="1"/>
    <x v="5"/>
    <n v="1"/>
  </r>
  <r>
    <s v="CAND_0554"/>
    <x v="0"/>
    <x v="1"/>
    <x v="544"/>
    <s v="Experienced graphic designer with 2 years working with photoshop, teamwork, creativity"/>
    <x v="8"/>
    <n v="0"/>
    <x v="4"/>
    <n v="0.66666666666666663"/>
  </r>
  <r>
    <s v="CAND_0555"/>
    <x v="10"/>
    <x v="3"/>
    <x v="545"/>
    <s v="Experienced devops engineer with 10 years working with critical thinking, creativity, terraform"/>
    <x v="7"/>
    <n v="0"/>
    <x v="0"/>
    <n v="1"/>
  </r>
  <r>
    <s v="CAND_0556"/>
    <x v="4"/>
    <x v="4"/>
    <x v="465"/>
    <s v="Experienced mobile developer with 1 years working with adaptability, creativity"/>
    <x v="19"/>
    <n v="0"/>
    <x v="4"/>
    <n v="0.33333333333333331"/>
  </r>
  <r>
    <s v="CAND_0557"/>
    <x v="0"/>
    <x v="1"/>
    <x v="546"/>
    <s v="Experienced business analyst with 2 years working with creativity, requirements analysis, excel"/>
    <x v="2"/>
    <n v="1"/>
    <x v="2"/>
    <n v="0.5"/>
  </r>
  <r>
    <s v="CAND_0558"/>
    <x v="4"/>
    <x v="0"/>
    <x v="547"/>
    <s v="Experienced developer with 1 years working with critical thinking, java, sql"/>
    <x v="9"/>
    <n v="0"/>
    <x v="5"/>
    <n v="0.5"/>
  </r>
  <r>
    <s v="CAND_0559"/>
    <x v="8"/>
    <x v="3"/>
    <x v="548"/>
    <s v="Experienced business analyst with 7 years working with leadership, teamwork"/>
    <x v="2"/>
    <n v="0"/>
    <x v="2"/>
    <n v="0.5"/>
  </r>
  <r>
    <s v="CAND_0560"/>
    <x v="6"/>
    <x v="0"/>
    <x v="549"/>
    <s v="Experienced web developer with 3 years working with vue, angular, leadership"/>
    <x v="13"/>
    <n v="0"/>
    <x v="0"/>
    <n v="0.5"/>
  </r>
  <r>
    <s v="CAND_0561"/>
    <x v="11"/>
    <x v="3"/>
    <x v="550"/>
    <s v="Experienced project manager with 11 years working with stakeholder management, communication, project management"/>
    <x v="4"/>
    <n v="1"/>
    <x v="2"/>
    <n v="0.875"/>
  </r>
  <r>
    <s v="CAND_0562"/>
    <x v="2"/>
    <x v="4"/>
    <x v="551"/>
    <s v="Experienced backend developer with 0 years working with communication, c#, nodejs"/>
    <x v="11"/>
    <n v="0"/>
    <x v="5"/>
    <n v="1"/>
  </r>
  <r>
    <s v="CAND_0563"/>
    <x v="2"/>
    <x v="1"/>
    <x v="552"/>
    <s v="Experienced frontend developer with 0 years working with responsive design, react, leadership"/>
    <x v="6"/>
    <n v="1"/>
    <x v="2"/>
    <n v="0.625"/>
  </r>
  <r>
    <s v="CAND_0564"/>
    <x v="11"/>
    <x v="1"/>
    <x v="553"/>
    <s v="Experienced software developer with 11 years working with leadership, creativity, c#"/>
    <x v="3"/>
    <n v="0"/>
    <x v="3"/>
    <n v="0.7142857142857143"/>
  </r>
  <r>
    <s v="CAND_0565"/>
    <x v="0"/>
    <x v="4"/>
    <x v="554"/>
    <s v="Experienced qa engineer with 2 years working with teamwork, adaptability, quality assurance"/>
    <x v="20"/>
    <n v="1"/>
    <x v="4"/>
    <n v="0.66666666666666663"/>
  </r>
  <r>
    <s v="CAND_0566"/>
    <x v="8"/>
    <x v="4"/>
    <x v="555"/>
    <s v="Experienced software developer with 7 years working with python, teamwork, ci/cd"/>
    <x v="3"/>
    <n v="0"/>
    <x v="3"/>
    <n v="0.7142857142857143"/>
  </r>
  <r>
    <s v="CAND_0567"/>
    <x v="0"/>
    <x v="0"/>
    <x v="556"/>
    <s v="Experienced system administrator with 2 years working with critical thinking, linux, adaptability"/>
    <x v="16"/>
    <n v="1"/>
    <x v="1"/>
    <n v="0.4"/>
  </r>
  <r>
    <s v="CAND_0568"/>
    <x v="2"/>
    <x v="2"/>
    <x v="100"/>
    <s v="Experienced qa engineer with 0 years working with critical thinking"/>
    <x v="20"/>
    <n v="0"/>
    <x v="4"/>
    <n v="0.66666666666666663"/>
  </r>
  <r>
    <s v="CAND_0569"/>
    <x v="1"/>
    <x v="2"/>
    <x v="557"/>
    <s v="Experienced data scientist with 9 years working with hadoop, machine learning, adaptability"/>
    <x v="5"/>
    <n v="0"/>
    <x v="0"/>
    <n v="0.5"/>
  </r>
  <r>
    <s v="CAND_0570"/>
    <x v="4"/>
    <x v="4"/>
    <x v="558"/>
    <s v="Experienced data analyst with 1 years working with pandas, statistics, excel"/>
    <x v="10"/>
    <n v="1"/>
    <x v="6"/>
    <n v="0.63636363636363635"/>
  </r>
  <r>
    <s v="CAND_0571"/>
    <x v="0"/>
    <x v="3"/>
    <x v="559"/>
    <s v="Experienced web developer with 2 years working with adaptability, creativity, react"/>
    <x v="13"/>
    <n v="1"/>
    <x v="0"/>
    <n v="0.5"/>
  </r>
  <r>
    <s v="CAND_0572"/>
    <x v="11"/>
    <x v="4"/>
    <x v="560"/>
    <s v="Experienced data scientist with 11 years working with hadoop, critical thinking, pytorch"/>
    <x v="5"/>
    <n v="0"/>
    <x v="0"/>
    <n v="0.5"/>
  </r>
  <r>
    <s v="CAND_0573"/>
    <x v="3"/>
    <x v="3"/>
    <x v="561"/>
    <s v="Experienced web developer with 8 years working with html, time management, vue"/>
    <x v="13"/>
    <n v="1"/>
    <x v="0"/>
    <n v="0.5"/>
  </r>
  <r>
    <s v="CAND_0574"/>
    <x v="10"/>
    <x v="2"/>
    <x v="562"/>
    <s v="Experienced web developer with 10 years working with time management, webpack, sass"/>
    <x v="13"/>
    <n v="0"/>
    <x v="0"/>
    <n v="0.5"/>
  </r>
  <r>
    <s v="CAND_0575"/>
    <x v="6"/>
    <x v="1"/>
    <x v="563"/>
    <s v="Experienced devops engineer with 3 years working with linux, communication, kubernetes"/>
    <x v="7"/>
    <n v="1"/>
    <x v="0"/>
    <n v="1"/>
  </r>
  <r>
    <s v="CAND_0576"/>
    <x v="12"/>
    <x v="0"/>
    <x v="564"/>
    <s v="Experienced web developer with 6 years working with creativity, vue, leadership"/>
    <x v="13"/>
    <n v="1"/>
    <x v="0"/>
    <n v="0.5"/>
  </r>
  <r>
    <s v="CAND_0577"/>
    <x v="2"/>
    <x v="0"/>
    <x v="565"/>
    <s v="Experienced backend developer with 0 years working with python, api, creativity"/>
    <x v="11"/>
    <n v="1"/>
    <x v="5"/>
    <n v="1"/>
  </r>
  <r>
    <s v="CAND_0578"/>
    <x v="5"/>
    <x v="4"/>
    <x v="566"/>
    <s v="Experienced backend developer with 5 years working with problem solving, api, aws"/>
    <x v="11"/>
    <n v="1"/>
    <x v="5"/>
    <n v="1"/>
  </r>
  <r>
    <s v="CAND_0579"/>
    <x v="6"/>
    <x v="4"/>
    <x v="567"/>
    <s v="Experienced data scientist with 3 years working with problem solving, deep learning, statistics"/>
    <x v="5"/>
    <n v="0"/>
    <x v="0"/>
    <n v="0.5"/>
  </r>
  <r>
    <s v="CAND_0580"/>
    <x v="2"/>
    <x v="4"/>
    <x v="568"/>
    <s v="Experienced graphic designer with 0 years working with illustrator, web design, adobe creative suite"/>
    <x v="8"/>
    <n v="1"/>
    <x v="4"/>
    <n v="0.66666666666666663"/>
  </r>
  <r>
    <s v="CAND_0581"/>
    <x v="2"/>
    <x v="1"/>
    <x v="569"/>
    <s v="Experienced designer with 0 years working with design, teamwork, ui/ux"/>
    <x v="1"/>
    <n v="1"/>
    <x v="1"/>
    <n v="0.6"/>
  </r>
  <r>
    <s v="CAND_0582"/>
    <x v="6"/>
    <x v="2"/>
    <x v="570"/>
    <s v="Experienced frontend developer with 3 years working with creativity, webpack, react"/>
    <x v="6"/>
    <n v="0"/>
    <x v="2"/>
    <n v="0.625"/>
  </r>
  <r>
    <s v="CAND_0583"/>
    <x v="6"/>
    <x v="4"/>
    <x v="571"/>
    <s v="Experienced ui ux designer with 3 years working with adaptability, adobe creative suite, creativity"/>
    <x v="15"/>
    <n v="0"/>
    <x v="5"/>
    <n v="1"/>
  </r>
  <r>
    <s v="CAND_0584"/>
    <x v="6"/>
    <x v="4"/>
    <x v="572"/>
    <s v="Experienced product manager with 3 years working with adaptability, a/b testing, product management"/>
    <x v="14"/>
    <n v="1"/>
    <x v="0"/>
    <n v="0.25"/>
  </r>
  <r>
    <s v="CAND_0585"/>
    <x v="12"/>
    <x v="2"/>
    <x v="573"/>
    <s v="Experienced devops engineer with 6 years working with linux, adaptability, docker"/>
    <x v="7"/>
    <n v="1"/>
    <x v="0"/>
    <n v="1"/>
  </r>
  <r>
    <s v="CAND_0586"/>
    <x v="4"/>
    <x v="0"/>
    <x v="574"/>
    <s v="Experienced backend developer with 1 years working with critical thinking, api, creativity"/>
    <x v="11"/>
    <n v="1"/>
    <x v="5"/>
    <n v="1"/>
  </r>
  <r>
    <s v="CAND_0587"/>
    <x v="10"/>
    <x v="3"/>
    <x v="575"/>
    <s v="Experienced fullstack developer with 10 years working with time management, problem solving, mongodb"/>
    <x v="0"/>
    <n v="1"/>
    <x v="0"/>
    <n v="0.5"/>
  </r>
  <r>
    <s v="CAND_0588"/>
    <x v="0"/>
    <x v="3"/>
    <x v="576"/>
    <s v="Experienced web developer with 2 years working with critical thinking, problem solving, leadership"/>
    <x v="13"/>
    <n v="1"/>
    <x v="0"/>
    <n v="0.5"/>
  </r>
  <r>
    <s v="CAND_0589"/>
    <x v="4"/>
    <x v="3"/>
    <x v="577"/>
    <s v="Experienced system administrator with 1 years working with security, linux, windows"/>
    <x v="16"/>
    <n v="1"/>
    <x v="1"/>
    <n v="0.4"/>
  </r>
  <r>
    <s v="CAND_0590"/>
    <x v="2"/>
    <x v="0"/>
    <x v="578"/>
    <s v="Experienced backend developer with 0 years working with python, api, time management"/>
    <x v="11"/>
    <n v="1"/>
    <x v="5"/>
    <n v="1"/>
  </r>
  <r>
    <s v="CAND_0591"/>
    <x v="2"/>
    <x v="2"/>
    <x v="579"/>
    <s v="Experienced ui ux designer with 0 years working with critical thinking, adobe creative suite, user research"/>
    <x v="15"/>
    <n v="0"/>
    <x v="5"/>
    <n v="1"/>
  </r>
  <r>
    <s v="CAND_0592"/>
    <x v="1"/>
    <x v="1"/>
    <x v="580"/>
    <s v="Experienced web developer with 9 years working with creativity, typescript, javascript"/>
    <x v="13"/>
    <n v="1"/>
    <x v="0"/>
    <n v="0.5"/>
  </r>
  <r>
    <s v="CAND_0593"/>
    <x v="2"/>
    <x v="2"/>
    <x v="581"/>
    <s v="Experienced content creator with 0 years working with seo, leadership, communication"/>
    <x v="17"/>
    <n v="0"/>
    <x v="4"/>
    <n v="1"/>
  </r>
  <r>
    <s v="CAND_0594"/>
    <x v="4"/>
    <x v="1"/>
    <x v="582"/>
    <s v="Experienced frontend developer with 1 years working with time management, vue, leadership"/>
    <x v="6"/>
    <n v="1"/>
    <x v="2"/>
    <n v="0.625"/>
  </r>
  <r>
    <s v="CAND_0595"/>
    <x v="6"/>
    <x v="3"/>
    <x v="583"/>
    <s v="Experienced devops engineer with 3 years working with time management, teamwork, aws"/>
    <x v="7"/>
    <n v="0"/>
    <x v="0"/>
    <n v="1"/>
  </r>
  <r>
    <s v="CAND_0596"/>
    <x v="4"/>
    <x v="1"/>
    <x v="584"/>
    <s v="Experienced digital marketer with 1 years working with digital marketing, sem, time management"/>
    <x v="18"/>
    <n v="1"/>
    <x v="4"/>
    <n v="1"/>
  </r>
  <r>
    <s v="CAND_0597"/>
    <x v="1"/>
    <x v="2"/>
    <x v="585"/>
    <s v="Experienced content creator with 9 years working with time management, copywriting, social media"/>
    <x v="17"/>
    <n v="0"/>
    <x v="4"/>
    <n v="1"/>
  </r>
  <r>
    <s v="CAND_0598"/>
    <x v="3"/>
    <x v="1"/>
    <x v="586"/>
    <s v="Experienced developer with 8 years working with adaptability, communication, programming"/>
    <x v="9"/>
    <n v="1"/>
    <x v="5"/>
    <n v="0.5"/>
  </r>
  <r>
    <s v="CAND_0599"/>
    <x v="3"/>
    <x v="1"/>
    <x v="587"/>
    <s v="Experienced product manager with 8 years working with technical skills, roadmap planning, a/b testing"/>
    <x v="14"/>
    <n v="0"/>
    <x v="0"/>
    <n v="0.25"/>
  </r>
  <r>
    <s v="CAND_0600"/>
    <x v="8"/>
    <x v="1"/>
    <x v="588"/>
    <s v="Experienced graphic designer with 7 years working with photoshop, teamwork, indesign"/>
    <x v="8"/>
    <n v="0"/>
    <x v="4"/>
    <n v="0.66666666666666663"/>
  </r>
  <r>
    <s v="CAND_0601"/>
    <x v="7"/>
    <x v="1"/>
    <x v="589"/>
    <s v="Experienced frontend developer with 4 years working with critical thinking, responsive design, typescript"/>
    <x v="6"/>
    <n v="1"/>
    <x v="2"/>
    <n v="0.625"/>
  </r>
  <r>
    <s v="CAND_0602"/>
    <x v="4"/>
    <x v="1"/>
    <x v="590"/>
    <s v="Experienced graphic designer with 1 years working with web design, adobe creative suite, photoshop"/>
    <x v="8"/>
    <n v="1"/>
    <x v="4"/>
    <n v="0.66666666666666663"/>
  </r>
  <r>
    <s v="CAND_0603"/>
    <x v="8"/>
    <x v="1"/>
    <x v="591"/>
    <s v="Experienced developer with 7 years working with critical thinking, leadership"/>
    <x v="9"/>
    <n v="0"/>
    <x v="5"/>
    <n v="0.5"/>
  </r>
  <r>
    <s v="CAND_0604"/>
    <x v="5"/>
    <x v="3"/>
    <x v="592"/>
    <s v="Experienced system administrator with 5 years working with linux, powershell, windows"/>
    <x v="16"/>
    <n v="1"/>
    <x v="1"/>
    <n v="0.4"/>
  </r>
  <r>
    <s v="CAND_0605"/>
    <x v="6"/>
    <x v="2"/>
    <x v="593"/>
    <s v="Experienced content creator with 3 years working with graphic design, time management, analytics"/>
    <x v="17"/>
    <n v="0"/>
    <x v="4"/>
    <n v="1"/>
  </r>
  <r>
    <s v="CAND_0606"/>
    <x v="2"/>
    <x v="0"/>
    <x v="235"/>
    <s v="Experienced devops engineer with 0 years working with critical thinking, linux, communication"/>
    <x v="7"/>
    <n v="1"/>
    <x v="0"/>
    <n v="1"/>
  </r>
  <r>
    <s v="CAND_0607"/>
    <x v="4"/>
    <x v="2"/>
    <x v="594"/>
    <s v="Experienced content creator with 1 years working with graphic design, content writing, communication"/>
    <x v="17"/>
    <n v="1"/>
    <x v="4"/>
    <n v="1"/>
  </r>
  <r>
    <s v="CAND_0608"/>
    <x v="6"/>
    <x v="0"/>
    <x v="595"/>
    <s v="Experienced backend developer with 3 years working with api, go, leadership"/>
    <x v="11"/>
    <n v="1"/>
    <x v="5"/>
    <n v="1"/>
  </r>
  <r>
    <s v="CAND_0609"/>
    <x v="2"/>
    <x v="2"/>
    <x v="596"/>
    <s v="Experienced frontend developer with 0 years working with communication, time management, creativity"/>
    <x v="6"/>
    <n v="1"/>
    <x v="2"/>
    <n v="0.625"/>
  </r>
  <r>
    <s v="CAND_0610"/>
    <x v="7"/>
    <x v="0"/>
    <x v="597"/>
    <s v="Experienced analyst with 4 years working with communication, data analysis, excel"/>
    <x v="12"/>
    <n v="1"/>
    <x v="7"/>
    <n v="0.5"/>
  </r>
  <r>
    <s v="CAND_0611"/>
    <x v="8"/>
    <x v="4"/>
    <x v="598"/>
    <s v="Experienced data analyst with 7 years working with critical thinking, creativity, excel"/>
    <x v="10"/>
    <n v="1"/>
    <x v="6"/>
    <n v="0.63636363636363635"/>
  </r>
  <r>
    <s v="CAND_0612"/>
    <x v="4"/>
    <x v="2"/>
    <x v="599"/>
    <s v="Experienced frontend developer with 1 years working with adaptability, creativity, problem solving"/>
    <x v="6"/>
    <n v="1"/>
    <x v="2"/>
    <n v="0.625"/>
  </r>
  <r>
    <s v="CAND_0613"/>
    <x v="12"/>
    <x v="1"/>
    <x v="600"/>
    <s v="Experienced data scientist with 6 years working with hadoop, statistics, leadership"/>
    <x v="5"/>
    <n v="0"/>
    <x v="0"/>
    <n v="0.5"/>
  </r>
  <r>
    <s v="CAND_0614"/>
    <x v="12"/>
    <x v="4"/>
    <x v="601"/>
    <s v="Experienced web developer with 6 years working with adaptability, communication, creativity"/>
    <x v="13"/>
    <n v="1"/>
    <x v="0"/>
    <n v="0.5"/>
  </r>
  <r>
    <s v="CAND_0615"/>
    <x v="1"/>
    <x v="0"/>
    <x v="602"/>
    <s v="Experienced digital marketer with 9 years working with digital marketing, critical thinking, adaptability"/>
    <x v="18"/>
    <n v="1"/>
    <x v="4"/>
    <n v="1"/>
  </r>
  <r>
    <s v="CAND_0616"/>
    <x v="4"/>
    <x v="1"/>
    <x v="603"/>
    <s v="Experienced content creator with 1 years working with content writing, communication, time management"/>
    <x v="17"/>
    <n v="1"/>
    <x v="4"/>
    <n v="1"/>
  </r>
  <r>
    <s v="CAND_0617"/>
    <x v="12"/>
    <x v="1"/>
    <x v="512"/>
    <s v="Experienced developer with 6 years working with leadership, teamwork, communication"/>
    <x v="9"/>
    <n v="0"/>
    <x v="5"/>
    <n v="0.5"/>
  </r>
  <r>
    <s v="CAND_0618"/>
    <x v="7"/>
    <x v="3"/>
    <x v="604"/>
    <s v="Experienced designer with 4 years working with adobe creative suite, design, creativity"/>
    <x v="1"/>
    <n v="1"/>
    <x v="1"/>
    <n v="0.6"/>
  </r>
  <r>
    <s v="CAND_0619"/>
    <x v="5"/>
    <x v="3"/>
    <x v="605"/>
    <s v="Experienced business analyst with 5 years working with communication, excel, agile"/>
    <x v="2"/>
    <n v="1"/>
    <x v="2"/>
    <n v="0.5"/>
  </r>
  <r>
    <s v="CAND_0620"/>
    <x v="4"/>
    <x v="1"/>
    <x v="606"/>
    <s v="Experienced digital marketer with 1 years working with digital marketing, conversion optimization, facebook ads"/>
    <x v="18"/>
    <n v="1"/>
    <x v="4"/>
    <n v="1"/>
  </r>
  <r>
    <s v="CAND_0621"/>
    <x v="1"/>
    <x v="4"/>
    <x v="607"/>
    <s v="Experienced project manager with 9 years working with adaptability, communication, project management"/>
    <x v="4"/>
    <n v="1"/>
    <x v="2"/>
    <n v="0.875"/>
  </r>
  <r>
    <s v="CAND_0622"/>
    <x v="2"/>
    <x v="1"/>
    <x v="608"/>
    <s v="Experienced designer with 0 years working with design, adaptability, css"/>
    <x v="1"/>
    <n v="1"/>
    <x v="1"/>
    <n v="0.6"/>
  </r>
  <r>
    <s v="CAND_0623"/>
    <x v="2"/>
    <x v="1"/>
    <x v="609"/>
    <s v="Experienced designer with 0 years working with critical thinking, adaptability, leadership"/>
    <x v="1"/>
    <n v="1"/>
    <x v="1"/>
    <n v="0.6"/>
  </r>
  <r>
    <s v="CAND_0624"/>
    <x v="5"/>
    <x v="0"/>
    <x v="610"/>
    <s v="Experienced digital marketer with 5 years working with digital marketing, communication, conversion optimization"/>
    <x v="18"/>
    <n v="1"/>
    <x v="4"/>
    <n v="1"/>
  </r>
  <r>
    <s v="CAND_0625"/>
    <x v="2"/>
    <x v="4"/>
    <x v="611"/>
    <s v="Experienced graphic designer with 0 years working with communication, web design"/>
    <x v="8"/>
    <n v="0"/>
    <x v="4"/>
    <n v="0.66666666666666663"/>
  </r>
  <r>
    <s v="CAND_0626"/>
    <x v="1"/>
    <x v="3"/>
    <x v="612"/>
    <s v="Experienced ui ux designer with 9 years working with critical thinking, ui/ux, communication"/>
    <x v="15"/>
    <n v="1"/>
    <x v="5"/>
    <n v="1"/>
  </r>
  <r>
    <s v="CAND_0627"/>
    <x v="8"/>
    <x v="4"/>
    <x v="613"/>
    <s v="Experienced software developer with 7 years working with python, creativity, programming"/>
    <x v="3"/>
    <n v="1"/>
    <x v="3"/>
    <n v="0.7142857142857143"/>
  </r>
  <r>
    <s v="CAND_0628"/>
    <x v="8"/>
    <x v="3"/>
    <x v="614"/>
    <s v="Experienced system administrator with 7 years working with linux, adaptability, windows"/>
    <x v="16"/>
    <n v="1"/>
    <x v="1"/>
    <n v="0.4"/>
  </r>
  <r>
    <s v="CAND_0629"/>
    <x v="5"/>
    <x v="2"/>
    <x v="615"/>
    <s v="Experienced software developer with 5 years working with python, time management, programming"/>
    <x v="3"/>
    <n v="1"/>
    <x v="3"/>
    <n v="0.7142857142857143"/>
  </r>
  <r>
    <s v="CAND_0630"/>
    <x v="8"/>
    <x v="1"/>
    <x v="616"/>
    <s v="Experienced web developer with 7 years working with creativity, vue, javascript"/>
    <x v="13"/>
    <n v="1"/>
    <x v="0"/>
    <n v="0.5"/>
  </r>
  <r>
    <s v="CAND_0631"/>
    <x v="7"/>
    <x v="1"/>
    <x v="617"/>
    <s v="Experienced system administrator with 4 years working with teamwork, bash, creativity"/>
    <x v="16"/>
    <n v="0"/>
    <x v="1"/>
    <n v="0.4"/>
  </r>
  <r>
    <s v="CAND_0632"/>
    <x v="7"/>
    <x v="2"/>
    <x v="618"/>
    <s v="Experienced project manager with 4 years working with risk management, creativity, problem solving"/>
    <x v="4"/>
    <n v="0"/>
    <x v="2"/>
    <n v="0.875"/>
  </r>
  <r>
    <s v="CAND_0633"/>
    <x v="11"/>
    <x v="1"/>
    <x v="619"/>
    <s v="Experienced software developer with 11 years working with java, c#, programming"/>
    <x v="3"/>
    <n v="1"/>
    <x v="3"/>
    <n v="0.7142857142857143"/>
  </r>
  <r>
    <s v="CAND_0634"/>
    <x v="8"/>
    <x v="0"/>
    <x v="620"/>
    <s v="Experienced data scientist with 7 years working with numpy, critical thinking, adaptability"/>
    <x v="5"/>
    <n v="0"/>
    <x v="0"/>
    <n v="0.5"/>
  </r>
  <r>
    <s v="CAND_0635"/>
    <x v="1"/>
    <x v="4"/>
    <x v="621"/>
    <s v="Experienced fullstack developer with 9 years working with adaptability, devops, problem solving"/>
    <x v="0"/>
    <n v="1"/>
    <x v="0"/>
    <n v="0.5"/>
  </r>
  <r>
    <s v="CAND_0636"/>
    <x v="6"/>
    <x v="4"/>
    <x v="622"/>
    <s v="Experienced software developer with 3 years working with creativity, git, communication"/>
    <x v="3"/>
    <n v="1"/>
    <x v="3"/>
    <n v="0.7142857142857143"/>
  </r>
  <r>
    <s v="CAND_0637"/>
    <x v="4"/>
    <x v="0"/>
    <x v="623"/>
    <s v="Experienced content creator with 1 years working with leadership, analytics, video editing"/>
    <x v="17"/>
    <n v="0"/>
    <x v="4"/>
    <n v="1"/>
  </r>
  <r>
    <s v="CAND_0638"/>
    <x v="6"/>
    <x v="4"/>
    <x v="624"/>
    <s v="Experienced frontend developer with 3 years working with vue, critical thinking, react"/>
    <x v="6"/>
    <n v="0"/>
    <x v="2"/>
    <n v="0.625"/>
  </r>
  <r>
    <s v="CAND_0639"/>
    <x v="4"/>
    <x v="0"/>
    <x v="625"/>
    <s v="Experienced graphic designer with 1 years working with indesign, illustrator, color theory"/>
    <x v="8"/>
    <n v="0"/>
    <x v="4"/>
    <n v="0.66666666666666663"/>
  </r>
  <r>
    <s v="CAND_0640"/>
    <x v="4"/>
    <x v="2"/>
    <x v="626"/>
    <s v="Experienced web developer with 1 years working with adaptability, react, javascript"/>
    <x v="13"/>
    <n v="1"/>
    <x v="0"/>
    <n v="0.5"/>
  </r>
  <r>
    <s v="CAND_0641"/>
    <x v="3"/>
    <x v="2"/>
    <x v="627"/>
    <s v="Experienced business analyst with 8 years working with adaptability, time management, requirements analysis"/>
    <x v="2"/>
    <n v="0"/>
    <x v="2"/>
    <n v="0.5"/>
  </r>
  <r>
    <s v="CAND_0642"/>
    <x v="7"/>
    <x v="1"/>
    <x v="628"/>
    <s v="Experienced developer with 4 years working with adaptability, python, creativity"/>
    <x v="9"/>
    <n v="0"/>
    <x v="5"/>
    <n v="0.5"/>
  </r>
  <r>
    <s v="CAND_0643"/>
    <x v="4"/>
    <x v="1"/>
    <x v="629"/>
    <s v="Experienced devops engineer with 1 years working with adaptability, grafana, azure"/>
    <x v="7"/>
    <n v="0"/>
    <x v="0"/>
    <n v="1"/>
  </r>
  <r>
    <s v="CAND_0644"/>
    <x v="5"/>
    <x v="4"/>
    <x v="630"/>
    <s v="Experienced frontend developer with 5 years working with time management, react"/>
    <x v="6"/>
    <n v="0"/>
    <x v="2"/>
    <n v="0.625"/>
  </r>
  <r>
    <s v="CAND_0645"/>
    <x v="4"/>
    <x v="1"/>
    <x v="631"/>
    <s v="Experienced frontend developer with 1 years working with time management"/>
    <x v="6"/>
    <n v="0"/>
    <x v="2"/>
    <n v="0.625"/>
  </r>
  <r>
    <s v="CAND_0646"/>
    <x v="1"/>
    <x v="1"/>
    <x v="632"/>
    <s v="Experienced analyst with 9 years working with communication, statistics, tableau"/>
    <x v="12"/>
    <n v="0"/>
    <x v="7"/>
    <n v="0.5"/>
  </r>
  <r>
    <s v="CAND_0647"/>
    <x v="3"/>
    <x v="2"/>
    <x v="633"/>
    <s v="Experienced data scientist with 8 years working with numpy, python, adaptability"/>
    <x v="5"/>
    <n v="1"/>
    <x v="0"/>
    <n v="0.5"/>
  </r>
  <r>
    <s v="CAND_0648"/>
    <x v="12"/>
    <x v="0"/>
    <x v="634"/>
    <s v="Experienced business analyst with 6 years working with python, communication, requirements analysis"/>
    <x v="2"/>
    <n v="0"/>
    <x v="2"/>
    <n v="0.5"/>
  </r>
  <r>
    <s v="CAND_0649"/>
    <x v="4"/>
    <x v="0"/>
    <x v="635"/>
    <s v="Experienced system administrator with 1 years working with critical thinking, communication, teamwork"/>
    <x v="16"/>
    <n v="0"/>
    <x v="1"/>
    <n v="0.4"/>
  </r>
  <r>
    <s v="CAND_0650"/>
    <x v="12"/>
    <x v="0"/>
    <x v="636"/>
    <s v="Experienced ui ux designer with 6 years working with ui/ux, adobe creative suite, teamwork"/>
    <x v="15"/>
    <n v="1"/>
    <x v="5"/>
    <n v="1"/>
  </r>
  <r>
    <s v="CAND_0651"/>
    <x v="6"/>
    <x v="4"/>
    <x v="637"/>
    <s v="Experienced content creator with 3 years working with graphic design, critical thinking, content writing"/>
    <x v="17"/>
    <n v="1"/>
    <x v="4"/>
    <n v="1"/>
  </r>
  <r>
    <s v="CAND_0652"/>
    <x v="11"/>
    <x v="4"/>
    <x v="638"/>
    <s v="Experienced project manager with 11 years working with problem solving, project management"/>
    <x v="4"/>
    <n v="1"/>
    <x v="2"/>
    <n v="0.875"/>
  </r>
  <r>
    <s v="CAND_0653"/>
    <x v="5"/>
    <x v="2"/>
    <x v="639"/>
    <s v="Experienced web developer with 5 years working with html, adaptability, time management"/>
    <x v="13"/>
    <n v="1"/>
    <x v="0"/>
    <n v="0.5"/>
  </r>
  <r>
    <s v="CAND_0654"/>
    <x v="0"/>
    <x v="2"/>
    <x v="640"/>
    <s v="Experienced project manager with 2 years working with risk management, teamwork, creativity"/>
    <x v="4"/>
    <n v="0"/>
    <x v="2"/>
    <n v="0.875"/>
  </r>
  <r>
    <s v="CAND_0655"/>
    <x v="3"/>
    <x v="3"/>
    <x v="641"/>
    <s v="Experienced developer with 8 years working with critical thinking, adaptability, testing"/>
    <x v="9"/>
    <n v="0"/>
    <x v="5"/>
    <n v="0.5"/>
  </r>
  <r>
    <s v="CAND_0656"/>
    <x v="3"/>
    <x v="3"/>
    <x v="642"/>
    <s v="Experienced fullstack developer with 8 years working with creativity, teamwork, javascript"/>
    <x v="0"/>
    <n v="1"/>
    <x v="0"/>
    <n v="0.5"/>
  </r>
  <r>
    <s v="CAND_0657"/>
    <x v="7"/>
    <x v="3"/>
    <x v="643"/>
    <s v="Experienced business analyst with 4 years working with python, adaptability, excel"/>
    <x v="2"/>
    <n v="1"/>
    <x v="2"/>
    <n v="0.5"/>
  </r>
  <r>
    <s v="CAND_0658"/>
    <x v="4"/>
    <x v="0"/>
    <x v="644"/>
    <s v="Experienced software developer with 1 years working with communication, testing, creativity"/>
    <x v="3"/>
    <n v="1"/>
    <x v="3"/>
    <n v="0.7142857142857143"/>
  </r>
  <r>
    <s v="CAND_0659"/>
    <x v="0"/>
    <x v="1"/>
    <x v="645"/>
    <s v="Experienced ui ux designer with 2 years working with ui/ux, communication, creativity"/>
    <x v="15"/>
    <n v="1"/>
    <x v="5"/>
    <n v="1"/>
  </r>
  <r>
    <s v="CAND_0660"/>
    <x v="2"/>
    <x v="1"/>
    <x v="646"/>
    <s v="Experienced designer with 0 years working with teamwork, adaptability, css"/>
    <x v="1"/>
    <n v="0"/>
    <x v="1"/>
    <n v="0.6"/>
  </r>
  <r>
    <s v="CAND_0661"/>
    <x v="6"/>
    <x v="2"/>
    <x v="647"/>
    <s v="Experienced analyst with 3 years working with data analysis, excel, tableau"/>
    <x v="12"/>
    <n v="1"/>
    <x v="7"/>
    <n v="0.5"/>
  </r>
  <r>
    <s v="CAND_0662"/>
    <x v="4"/>
    <x v="1"/>
    <x v="648"/>
    <s v="Experienced developer with 1 years working with problem solving, git"/>
    <x v="9"/>
    <n v="0"/>
    <x v="5"/>
    <n v="0.5"/>
  </r>
  <r>
    <s v="CAND_0663"/>
    <x v="2"/>
    <x v="1"/>
    <x v="649"/>
    <s v="Experienced designer with 0 years working with ui/ux, adaptability, css"/>
    <x v="1"/>
    <n v="0"/>
    <x v="1"/>
    <n v="0.6"/>
  </r>
  <r>
    <s v="CAND_0664"/>
    <x v="12"/>
    <x v="4"/>
    <x v="650"/>
    <s v="Experienced frontend developer with 6 years working with vue, leadership, responsive design"/>
    <x v="6"/>
    <n v="0"/>
    <x v="2"/>
    <n v="0.625"/>
  </r>
  <r>
    <s v="CAND_0665"/>
    <x v="11"/>
    <x v="3"/>
    <x v="651"/>
    <s v="Experienced project manager with 11 years working with risk management, leadership, scrum"/>
    <x v="4"/>
    <n v="0"/>
    <x v="2"/>
    <n v="0.875"/>
  </r>
  <r>
    <s v="CAND_0666"/>
    <x v="2"/>
    <x v="1"/>
    <x v="652"/>
    <s v="Experienced analyst with 0 years working with time management, creativity, reporting"/>
    <x v="12"/>
    <n v="0"/>
    <x v="7"/>
    <n v="0.5"/>
  </r>
  <r>
    <s v="CAND_0667"/>
    <x v="10"/>
    <x v="3"/>
    <x v="653"/>
    <s v="Experienced content creator with 10 years working with seo, creativity, content strategy"/>
    <x v="17"/>
    <n v="0"/>
    <x v="4"/>
    <n v="1"/>
  </r>
  <r>
    <s v="CAND_0668"/>
    <x v="12"/>
    <x v="4"/>
    <x v="654"/>
    <s v="Experienced frontend developer with 6 years working with time management, webpack, vue"/>
    <x v="6"/>
    <n v="1"/>
    <x v="2"/>
    <n v="0.625"/>
  </r>
  <r>
    <s v="CAND_0669"/>
    <x v="0"/>
    <x v="3"/>
    <x v="655"/>
    <s v="Experienced frontend developer with 2 years working with ui/ux, adaptability, creativity"/>
    <x v="6"/>
    <n v="0"/>
    <x v="2"/>
    <n v="0.625"/>
  </r>
  <r>
    <s v="CAND_0670"/>
    <x v="5"/>
    <x v="3"/>
    <x v="656"/>
    <s v="Experienced ui ux designer with 5 years working with adobe creative suite, teamwork, figma"/>
    <x v="15"/>
    <n v="0"/>
    <x v="5"/>
    <n v="1"/>
  </r>
  <r>
    <s v="CAND_0671"/>
    <x v="8"/>
    <x v="2"/>
    <x v="657"/>
    <s v="Experienced analyst with 7 years working with python, statistics, data analysis"/>
    <x v="12"/>
    <n v="1"/>
    <x v="7"/>
    <n v="0.5"/>
  </r>
  <r>
    <s v="CAND_0672"/>
    <x v="4"/>
    <x v="4"/>
    <x v="658"/>
    <s v="Experienced data analyst with 1 years working with adaptability, pandas, excel"/>
    <x v="10"/>
    <n v="1"/>
    <x v="6"/>
    <n v="0.63636363636363635"/>
  </r>
  <r>
    <s v="CAND_0673"/>
    <x v="6"/>
    <x v="3"/>
    <x v="659"/>
    <s v="Experienced web developer with 3 years working with html, communication, leadership"/>
    <x v="13"/>
    <n v="1"/>
    <x v="0"/>
    <n v="0.5"/>
  </r>
  <r>
    <s v="CAND_0674"/>
    <x v="0"/>
    <x v="4"/>
    <x v="660"/>
    <s v="Experienced mobile developer with 2 years working with react native, java, time management"/>
    <x v="19"/>
    <n v="0"/>
    <x v="4"/>
    <n v="0.33333333333333331"/>
  </r>
  <r>
    <s v="CAND_0675"/>
    <x v="8"/>
    <x v="0"/>
    <x v="661"/>
    <s v="Experienced designer with 7 years working with problem solving, design, adaptability"/>
    <x v="1"/>
    <n v="1"/>
    <x v="1"/>
    <n v="0.6"/>
  </r>
  <r>
    <s v="CAND_0676"/>
    <x v="2"/>
    <x v="1"/>
    <x v="662"/>
    <s v="Experienced fullstack developer with 0 years working with adaptability, creativity, react"/>
    <x v="0"/>
    <n v="1"/>
    <x v="0"/>
    <n v="0.5"/>
  </r>
  <r>
    <s v="CAND_0677"/>
    <x v="2"/>
    <x v="0"/>
    <x v="663"/>
    <s v="Experienced project manager with 0 years working with communication, project management, risk management"/>
    <x v="4"/>
    <n v="1"/>
    <x v="2"/>
    <n v="0.875"/>
  </r>
  <r>
    <s v="CAND_0678"/>
    <x v="6"/>
    <x v="4"/>
    <x v="664"/>
    <s v="Experienced backend developer with 3 years working with java, docker, time management"/>
    <x v="11"/>
    <n v="0"/>
    <x v="5"/>
    <n v="1"/>
  </r>
  <r>
    <s v="CAND_0679"/>
    <x v="10"/>
    <x v="1"/>
    <x v="665"/>
    <s v="Experienced ui ux designer with 10 years working with adaptability, adobe creative suite, creativity"/>
    <x v="15"/>
    <n v="0"/>
    <x v="5"/>
    <n v="1"/>
  </r>
  <r>
    <s v="CAND_0680"/>
    <x v="2"/>
    <x v="2"/>
    <x v="666"/>
    <s v="Experienced product manager with 0 years working with communication, roadmap planning, a/b testing"/>
    <x v="14"/>
    <n v="1"/>
    <x v="0"/>
    <n v="0.25"/>
  </r>
  <r>
    <s v="CAND_0681"/>
    <x v="8"/>
    <x v="2"/>
    <x v="667"/>
    <s v="Experienced ui ux designer with 7 years working with critical thinking, ui/ux, adobe creative suite"/>
    <x v="15"/>
    <n v="1"/>
    <x v="5"/>
    <n v="1"/>
  </r>
  <r>
    <s v="CAND_0682"/>
    <x v="5"/>
    <x v="1"/>
    <x v="668"/>
    <s v="Experienced product manager with 5 years working with communication, technical skills, analytics"/>
    <x v="14"/>
    <n v="1"/>
    <x v="0"/>
    <n v="0.25"/>
  </r>
  <r>
    <s v="CAND_0683"/>
    <x v="4"/>
    <x v="4"/>
    <x v="669"/>
    <s v="Experienced digital marketer with 1 years working with digital marketing, communication, sem"/>
    <x v="18"/>
    <n v="1"/>
    <x v="4"/>
    <n v="1"/>
  </r>
  <r>
    <s v="CAND_0684"/>
    <x v="2"/>
    <x v="1"/>
    <x v="670"/>
    <s v="Experienced system administrator with 0 years working with linux, communication, windows"/>
    <x v="16"/>
    <n v="1"/>
    <x v="1"/>
    <n v="0.4"/>
  </r>
  <r>
    <s v="CAND_0685"/>
    <x v="5"/>
    <x v="0"/>
    <x v="671"/>
    <s v="Experienced ui ux designer with 5 years working with creativity, user research, teamwork"/>
    <x v="15"/>
    <n v="0"/>
    <x v="5"/>
    <n v="1"/>
  </r>
  <r>
    <s v="CAND_0686"/>
    <x v="1"/>
    <x v="2"/>
    <x v="672"/>
    <s v="Experienced digital marketer with 9 years working with digital marketing, critical thinking, sem"/>
    <x v="18"/>
    <n v="1"/>
    <x v="4"/>
    <n v="1"/>
  </r>
  <r>
    <s v="CAND_0687"/>
    <x v="2"/>
    <x v="3"/>
    <x v="673"/>
    <s v="Experienced designer with 0 years working with adaptability, communication, teamwork"/>
    <x v="1"/>
    <n v="0"/>
    <x v="1"/>
    <n v="0.6"/>
  </r>
  <r>
    <s v="CAND_0688"/>
    <x v="4"/>
    <x v="3"/>
    <x v="674"/>
    <s v="Experienced qa engineer with 1 years working with adaptability, testing, quality assurance"/>
    <x v="20"/>
    <n v="1"/>
    <x v="4"/>
    <n v="0.66666666666666663"/>
  </r>
  <r>
    <s v="CAND_0689"/>
    <x v="4"/>
    <x v="4"/>
    <x v="675"/>
    <s v="Experienced developer with 1 years working with leadership, java, javascript"/>
    <x v="9"/>
    <n v="0"/>
    <x v="5"/>
    <n v="0.5"/>
  </r>
  <r>
    <s v="CAND_0690"/>
    <x v="4"/>
    <x v="3"/>
    <x v="676"/>
    <s v="Experienced backend developer with 1 years working with api, communication, kubernetes"/>
    <x v="11"/>
    <n v="1"/>
    <x v="5"/>
    <n v="1"/>
  </r>
  <r>
    <s v="CAND_0691"/>
    <x v="6"/>
    <x v="0"/>
    <x v="677"/>
    <s v="Experienced web developer with 3 years working with communication, javascript, html"/>
    <x v="13"/>
    <n v="1"/>
    <x v="0"/>
    <n v="0.5"/>
  </r>
  <r>
    <s v="CAND_0692"/>
    <x v="4"/>
    <x v="4"/>
    <x v="678"/>
    <s v="Experienced ui ux designer with 1 years working with ui/ux, adobe creative suite, time management"/>
    <x v="15"/>
    <n v="1"/>
    <x v="5"/>
    <n v="1"/>
  </r>
  <r>
    <s v="CAND_0693"/>
    <x v="2"/>
    <x v="2"/>
    <x v="679"/>
    <s v="Experienced developer with 0 years working with critical thinking, leadership, git"/>
    <x v="9"/>
    <n v="0"/>
    <x v="5"/>
    <n v="0.5"/>
  </r>
  <r>
    <s v="CAND_0694"/>
    <x v="2"/>
    <x v="4"/>
    <x v="680"/>
    <s v="Experienced content creator with 0 years working with problem solving, content writing, communication"/>
    <x v="17"/>
    <n v="1"/>
    <x v="4"/>
    <n v="1"/>
  </r>
  <r>
    <s v="CAND_0695"/>
    <x v="1"/>
    <x v="0"/>
    <x v="681"/>
    <s v="Experienced software developer with 9 years working with critical thinking, docker, c++"/>
    <x v="3"/>
    <n v="1"/>
    <x v="3"/>
    <n v="0.7142857142857143"/>
  </r>
  <r>
    <s v="CAND_0696"/>
    <x v="4"/>
    <x v="1"/>
    <x v="682"/>
    <s v="Experienced product manager with 1 years working with adaptability, communication, technical skills"/>
    <x v="14"/>
    <n v="1"/>
    <x v="0"/>
    <n v="0.25"/>
  </r>
  <r>
    <s v="CAND_0697"/>
    <x v="10"/>
    <x v="1"/>
    <x v="683"/>
    <s v="Experienced developer with 10 years working with adaptability, java, creativity"/>
    <x v="9"/>
    <n v="0"/>
    <x v="5"/>
    <n v="0.5"/>
  </r>
  <r>
    <s v="CAND_0698"/>
    <x v="7"/>
    <x v="3"/>
    <x v="684"/>
    <s v="Experienced developer with 4 years working with python, adaptability, java"/>
    <x v="9"/>
    <n v="1"/>
    <x v="5"/>
    <n v="0.5"/>
  </r>
  <r>
    <s v="CAND_0699"/>
    <x v="4"/>
    <x v="3"/>
    <x v="685"/>
    <s v="Experienced graphic designer with 1 years working with critical thinking, adaptability, photoshop"/>
    <x v="8"/>
    <n v="0"/>
    <x v="4"/>
    <n v="0.66666666666666663"/>
  </r>
  <r>
    <s v="CAND_0700"/>
    <x v="2"/>
    <x v="1"/>
    <x v="686"/>
    <s v="Experienced content creator with 0 years working with content writing, adaptability, communication"/>
    <x v="17"/>
    <n v="1"/>
    <x v="4"/>
    <n v="1"/>
  </r>
  <r>
    <s v="CAND_0701"/>
    <x v="2"/>
    <x v="4"/>
    <x v="687"/>
    <s v="Experienced content creator with 0 years working with graphic design, seo, content writing"/>
    <x v="17"/>
    <n v="1"/>
    <x v="4"/>
    <n v="1"/>
  </r>
  <r>
    <s v="CAND_0702"/>
    <x v="3"/>
    <x v="2"/>
    <x v="688"/>
    <s v="Experienced devops engineer with 8 years working with linux, adaptability, docker"/>
    <x v="7"/>
    <n v="1"/>
    <x v="0"/>
    <n v="1"/>
  </r>
  <r>
    <s v="CAND_0703"/>
    <x v="2"/>
    <x v="0"/>
    <x v="689"/>
    <s v="Experienced data analyst with 0 years working with critical thinking, python, pandas"/>
    <x v="10"/>
    <n v="1"/>
    <x v="6"/>
    <n v="0.63636363636363635"/>
  </r>
  <r>
    <s v="CAND_0704"/>
    <x v="3"/>
    <x v="2"/>
    <x v="690"/>
    <s v="Experienced devops engineer with 8 years working with time management, creativity, terraform"/>
    <x v="7"/>
    <n v="0"/>
    <x v="0"/>
    <n v="1"/>
  </r>
  <r>
    <s v="CAND_0705"/>
    <x v="1"/>
    <x v="0"/>
    <x v="691"/>
    <s v="Experienced ui ux designer with 9 years working with problem solving, communication, wireframing"/>
    <x v="15"/>
    <n v="0"/>
    <x v="5"/>
    <n v="1"/>
  </r>
  <r>
    <s v="CAND_0706"/>
    <x v="0"/>
    <x v="4"/>
    <x v="692"/>
    <s v="Experienced software developer with 2 years working with adaptability, testing, java"/>
    <x v="3"/>
    <n v="1"/>
    <x v="3"/>
    <n v="0.7142857142857143"/>
  </r>
  <r>
    <s v="CAND_0707"/>
    <x v="2"/>
    <x v="1"/>
    <x v="693"/>
    <s v="Experienced data scientist with 0 years working with critical thinking, adaptability, hadoop"/>
    <x v="5"/>
    <n v="0"/>
    <x v="0"/>
    <n v="0.5"/>
  </r>
  <r>
    <s v="CAND_0708"/>
    <x v="2"/>
    <x v="2"/>
    <x v="694"/>
    <s v="Experienced analyst with 0 years working with python, adaptability, data analysis"/>
    <x v="12"/>
    <n v="1"/>
    <x v="7"/>
    <n v="0.5"/>
  </r>
  <r>
    <s v="CAND_0709"/>
    <x v="12"/>
    <x v="2"/>
    <x v="695"/>
    <s v="Experienced qa engineer with 6 years working with communication, performance testing, teamwork"/>
    <x v="20"/>
    <n v="0"/>
    <x v="4"/>
    <n v="0.66666666666666663"/>
  </r>
  <r>
    <s v="CAND_0710"/>
    <x v="6"/>
    <x v="3"/>
    <x v="696"/>
    <s v="Experienced data analyst with 3 years working with critical thinking, time management, statistics"/>
    <x v="10"/>
    <n v="0"/>
    <x v="6"/>
    <n v="0.63636363636363635"/>
  </r>
  <r>
    <s v="CAND_0711"/>
    <x v="1"/>
    <x v="2"/>
    <x v="697"/>
    <s v="Experienced product manager with 9 years working with critical thinking, communication, roadmap planning"/>
    <x v="14"/>
    <n v="1"/>
    <x v="0"/>
    <n v="0.25"/>
  </r>
  <r>
    <s v="CAND_0712"/>
    <x v="2"/>
    <x v="2"/>
    <x v="698"/>
    <s v="Experienced software developer with 0 years working with critical thinking, java, time management"/>
    <x v="3"/>
    <n v="1"/>
    <x v="3"/>
    <n v="0.7142857142857143"/>
  </r>
  <r>
    <s v="CAND_0713"/>
    <x v="2"/>
    <x v="2"/>
    <x v="699"/>
    <s v="Experienced backend developer with 0 years working with critical thinking, api, kubernetes"/>
    <x v="11"/>
    <n v="1"/>
    <x v="5"/>
    <n v="1"/>
  </r>
  <r>
    <s v="CAND_0714"/>
    <x v="3"/>
    <x v="4"/>
    <x v="700"/>
    <s v="Experienced developer with 8 years working with critical thinking, python, java"/>
    <x v="9"/>
    <n v="1"/>
    <x v="5"/>
    <n v="0.5"/>
  </r>
  <r>
    <s v="CAND_0715"/>
    <x v="3"/>
    <x v="1"/>
    <x v="701"/>
    <s v="Experienced web developer with 8 years working with critical thinking, html, webpack"/>
    <x v="13"/>
    <n v="1"/>
    <x v="0"/>
    <n v="0.5"/>
  </r>
  <r>
    <s v="CAND_0716"/>
    <x v="6"/>
    <x v="4"/>
    <x v="702"/>
    <s v="Experienced product manager with 3 years working with communication, roadmap planning, time management"/>
    <x v="14"/>
    <n v="1"/>
    <x v="0"/>
    <n v="0.25"/>
  </r>
  <r>
    <s v="CAND_0717"/>
    <x v="3"/>
    <x v="4"/>
    <x v="703"/>
    <s v="Experienced system administrator with 8 years working with bash, creativity, leadership"/>
    <x v="16"/>
    <n v="0"/>
    <x v="1"/>
    <n v="0.4"/>
  </r>
  <r>
    <s v="CAND_0718"/>
    <x v="6"/>
    <x v="4"/>
    <x v="704"/>
    <s v="Experienced designer with 3 years working with critical thinking, time management, communication"/>
    <x v="1"/>
    <n v="0"/>
    <x v="1"/>
    <n v="0.6"/>
  </r>
  <r>
    <s v="CAND_0719"/>
    <x v="11"/>
    <x v="1"/>
    <x v="705"/>
    <s v="Experienced software developer with 11 years working with python, communication, java"/>
    <x v="3"/>
    <n v="0"/>
    <x v="3"/>
    <n v="0.7142857142857143"/>
  </r>
  <r>
    <s v="CAND_0720"/>
    <x v="7"/>
    <x v="3"/>
    <x v="706"/>
    <s v="Experienced backend developer with 4 years working with go, adaptability, c#"/>
    <x v="11"/>
    <n v="0"/>
    <x v="5"/>
    <n v="1"/>
  </r>
  <r>
    <s v="CAND_0721"/>
    <x v="0"/>
    <x v="0"/>
    <x v="707"/>
    <s v="Experienced software developer with 2 years working with teamwork, communication"/>
    <x v="3"/>
    <n v="0"/>
    <x v="3"/>
    <n v="0.7142857142857143"/>
  </r>
  <r>
    <s v="CAND_0722"/>
    <x v="5"/>
    <x v="0"/>
    <x v="708"/>
    <s v="Experienced mobile developer with 5 years working with kotlin, leadership, react native"/>
    <x v="19"/>
    <n v="0"/>
    <x v="4"/>
    <n v="0.33333333333333331"/>
  </r>
  <r>
    <s v="CAND_0723"/>
    <x v="0"/>
    <x v="1"/>
    <x v="709"/>
    <s v="Experienced web developer with 2 years working with vue, time management, creativity"/>
    <x v="13"/>
    <n v="0"/>
    <x v="0"/>
    <n v="0.5"/>
  </r>
  <r>
    <s v="CAND_0724"/>
    <x v="5"/>
    <x v="3"/>
    <x v="710"/>
    <s v="Experienced developer with 5 years working with python, testing, creativity"/>
    <x v="9"/>
    <n v="0"/>
    <x v="5"/>
    <n v="0.5"/>
  </r>
  <r>
    <s v="CAND_0725"/>
    <x v="12"/>
    <x v="0"/>
    <x v="711"/>
    <s v="Experienced digital marketer with 6 years working with digital marketing, seo, communication"/>
    <x v="18"/>
    <n v="1"/>
    <x v="4"/>
    <n v="1"/>
  </r>
  <r>
    <s v="CAND_0726"/>
    <x v="4"/>
    <x v="1"/>
    <x v="712"/>
    <s v="Experienced mobile developer with 1 years working with adaptability, swift, java"/>
    <x v="19"/>
    <n v="1"/>
    <x v="4"/>
    <n v="0.33333333333333331"/>
  </r>
  <r>
    <s v="CAND_0727"/>
    <x v="2"/>
    <x v="4"/>
    <x v="713"/>
    <s v="Experienced designer with 0 years working with ui/ux, adaptability"/>
    <x v="1"/>
    <n v="0"/>
    <x v="1"/>
    <n v="0.6"/>
  </r>
  <r>
    <s v="CAND_0728"/>
    <x v="1"/>
    <x v="4"/>
    <x v="714"/>
    <s v="Experienced analyst with 9 years working with critical thinking, tableau, problem solving"/>
    <x v="12"/>
    <n v="0"/>
    <x v="7"/>
    <n v="0.5"/>
  </r>
  <r>
    <s v="CAND_0729"/>
    <x v="6"/>
    <x v="2"/>
    <x v="715"/>
    <s v="Experienced software developer with 3 years working with critical thinking, python, communication"/>
    <x v="3"/>
    <n v="1"/>
    <x v="3"/>
    <n v="0.7142857142857143"/>
  </r>
  <r>
    <s v="CAND_0730"/>
    <x v="4"/>
    <x v="3"/>
    <x v="716"/>
    <s v="Experienced analyst with 1 years working with critical thinking, python, data analysis"/>
    <x v="12"/>
    <n v="1"/>
    <x v="7"/>
    <n v="0.5"/>
  </r>
  <r>
    <s v="CAND_0731"/>
    <x v="6"/>
    <x v="4"/>
    <x v="717"/>
    <s v="Experienced business analyst with 3 years working with python, creativity, requirements analysis"/>
    <x v="2"/>
    <n v="1"/>
    <x v="2"/>
    <n v="0.5"/>
  </r>
  <r>
    <s v="CAND_0732"/>
    <x v="12"/>
    <x v="1"/>
    <x v="718"/>
    <s v="Experienced designer with 6 years working with design, teamwork, prototyping"/>
    <x v="1"/>
    <n v="1"/>
    <x v="1"/>
    <n v="0.6"/>
  </r>
  <r>
    <s v="CAND_0733"/>
    <x v="0"/>
    <x v="4"/>
    <x v="719"/>
    <s v="Experienced product manager with 2 years working with communication, a/b testing, problem solving"/>
    <x v="14"/>
    <n v="1"/>
    <x v="0"/>
    <n v="0.25"/>
  </r>
  <r>
    <s v="CAND_0734"/>
    <x v="12"/>
    <x v="0"/>
    <x v="720"/>
    <s v="Experienced content creator with 6 years working with seo, content writing, communication"/>
    <x v="17"/>
    <n v="1"/>
    <x v="4"/>
    <n v="1"/>
  </r>
  <r>
    <s v="CAND_0735"/>
    <x v="2"/>
    <x v="0"/>
    <x v="721"/>
    <s v="Experienced web developer with 0 years working with adaptability, communication, time management"/>
    <x v="13"/>
    <n v="0"/>
    <x v="0"/>
    <n v="0.5"/>
  </r>
  <r>
    <s v="CAND_0736"/>
    <x v="1"/>
    <x v="4"/>
    <x v="722"/>
    <s v="Experienced digital marketer with 9 years working with sem, teamwork, facebook ads"/>
    <x v="18"/>
    <n v="0"/>
    <x v="4"/>
    <n v="1"/>
  </r>
  <r>
    <s v="CAND_0737"/>
    <x v="5"/>
    <x v="3"/>
    <x v="723"/>
    <s v="Experienced graphic designer with 5 years working with indesign, communication, typography"/>
    <x v="8"/>
    <n v="1"/>
    <x v="4"/>
    <n v="0.66666666666666663"/>
  </r>
  <r>
    <s v="CAND_0738"/>
    <x v="12"/>
    <x v="0"/>
    <x v="724"/>
    <s v="Experienced analyst with 6 years working with time management, statistics, communication"/>
    <x v="12"/>
    <n v="0"/>
    <x v="7"/>
    <n v="0.5"/>
  </r>
  <r>
    <s v="CAND_0739"/>
    <x v="4"/>
    <x v="1"/>
    <x v="725"/>
    <s v="Experienced software developer with 1 years working with time management, creativity, c++"/>
    <x v="3"/>
    <n v="1"/>
    <x v="3"/>
    <n v="0.7142857142857143"/>
  </r>
  <r>
    <s v="CAND_0740"/>
    <x v="1"/>
    <x v="2"/>
    <x v="726"/>
    <s v="Experienced analyst with 9 years working with critical thinking, time management, creativity"/>
    <x v="12"/>
    <n v="0"/>
    <x v="7"/>
    <n v="0.5"/>
  </r>
  <r>
    <s v="CAND_0741"/>
    <x v="4"/>
    <x v="1"/>
    <x v="727"/>
    <s v="Experienced content creator with 1 years working with seo, adaptability, communication"/>
    <x v="17"/>
    <n v="0"/>
    <x v="4"/>
    <n v="1"/>
  </r>
  <r>
    <s v="CAND_0742"/>
    <x v="2"/>
    <x v="1"/>
    <x v="728"/>
    <s v="Experienced designer with 0 years working with adobe creative suite, design, ui/ux"/>
    <x v="1"/>
    <n v="1"/>
    <x v="1"/>
    <n v="0.6"/>
  </r>
  <r>
    <s v="CAND_0743"/>
    <x v="4"/>
    <x v="2"/>
    <x v="729"/>
    <s v="Experienced backend developer with 1 years working with critical thinking, api, communication"/>
    <x v="11"/>
    <n v="1"/>
    <x v="5"/>
    <n v="1"/>
  </r>
  <r>
    <s v="CAND_0744"/>
    <x v="1"/>
    <x v="0"/>
    <x v="730"/>
    <s v="Experienced fullstack developer with 9 years working with teamwork, docker, devops"/>
    <x v="0"/>
    <n v="0"/>
    <x v="0"/>
    <n v="0.5"/>
  </r>
  <r>
    <s v="CAND_0745"/>
    <x v="12"/>
    <x v="4"/>
    <x v="731"/>
    <s v="Experienced content creator with 6 years working with critical thinking, seo, content writing"/>
    <x v="17"/>
    <n v="1"/>
    <x v="4"/>
    <n v="1"/>
  </r>
  <r>
    <s v="CAND_0746"/>
    <x v="7"/>
    <x v="1"/>
    <x v="732"/>
    <s v="Experienced mobile developer with 4 years working with adaptability, swift, mobile"/>
    <x v="19"/>
    <n v="1"/>
    <x v="4"/>
    <n v="0.33333333333333331"/>
  </r>
  <r>
    <s v="CAND_0747"/>
    <x v="10"/>
    <x v="2"/>
    <x v="733"/>
    <s v="Experienced developer with 10 years working with adaptability, communication, time management"/>
    <x v="9"/>
    <n v="1"/>
    <x v="5"/>
    <n v="0.5"/>
  </r>
  <r>
    <s v="CAND_0748"/>
    <x v="8"/>
    <x v="1"/>
    <x v="734"/>
    <s v="Experienced content creator with 7 years working with critical thinking, leadership, social media"/>
    <x v="17"/>
    <n v="0"/>
    <x v="4"/>
    <n v="1"/>
  </r>
  <r>
    <s v="CAND_0749"/>
    <x v="4"/>
    <x v="2"/>
    <x v="735"/>
    <s v="Experienced product manager with 1 years working with communication, creativity, user research"/>
    <x v="14"/>
    <n v="1"/>
    <x v="0"/>
    <n v="0.25"/>
  </r>
  <r>
    <s v="CAND_0750"/>
    <x v="4"/>
    <x v="3"/>
    <x v="736"/>
    <s v="Experienced qa engineer with 1 years working with adaptability, communication, manual testing"/>
    <x v="20"/>
    <n v="0"/>
    <x v="4"/>
    <n v="0.66666666666666663"/>
  </r>
  <r>
    <s v="CAND_0751"/>
    <x v="4"/>
    <x v="1"/>
    <x v="737"/>
    <s v="Experienced content creator with 1 years working with seo, copywriting, creativity"/>
    <x v="17"/>
    <n v="0"/>
    <x v="4"/>
    <n v="1"/>
  </r>
  <r>
    <s v="CAND_0752"/>
    <x v="8"/>
    <x v="4"/>
    <x v="738"/>
    <s v="Experienced graphic designer with 7 years working with communication, adobe creative suite, creativity"/>
    <x v="8"/>
    <n v="1"/>
    <x v="4"/>
    <n v="0.66666666666666663"/>
  </r>
  <r>
    <s v="CAND_0753"/>
    <x v="11"/>
    <x v="0"/>
    <x v="739"/>
    <s v="Experienced fullstack developer with 11 years working with python, communication, problem solving"/>
    <x v="0"/>
    <n v="1"/>
    <x v="0"/>
    <n v="0.5"/>
  </r>
  <r>
    <s v="CAND_0754"/>
    <x v="2"/>
    <x v="1"/>
    <x v="740"/>
    <s v="Experienced digital marketer with 0 years working with digital marketing, analytics, facebook ads"/>
    <x v="18"/>
    <n v="1"/>
    <x v="4"/>
    <n v="1"/>
  </r>
  <r>
    <s v="CAND_0755"/>
    <x v="4"/>
    <x v="4"/>
    <x v="741"/>
    <s v="Experienced data analyst with 1 years working with adaptability, statistics, excel"/>
    <x v="10"/>
    <n v="1"/>
    <x v="6"/>
    <n v="0.63636363636363635"/>
  </r>
  <r>
    <s v="CAND_0756"/>
    <x v="4"/>
    <x v="4"/>
    <x v="742"/>
    <s v="Experienced qa engineer with 1 years working with testing, problem solving, quality assurance"/>
    <x v="20"/>
    <n v="1"/>
    <x v="4"/>
    <n v="0.66666666666666663"/>
  </r>
  <r>
    <s v="CAND_0757"/>
    <x v="2"/>
    <x v="0"/>
    <x v="743"/>
    <s v="Experienced system administrator with 0 years working with linux, communication, windows"/>
    <x v="16"/>
    <n v="1"/>
    <x v="1"/>
    <n v="0.4"/>
  </r>
  <r>
    <s v="CAND_0758"/>
    <x v="12"/>
    <x v="4"/>
    <x v="744"/>
    <s v="Experienced mobile developer with 6 years working with flutter, time management, leadership"/>
    <x v="19"/>
    <n v="0"/>
    <x v="4"/>
    <n v="0.33333333333333331"/>
  </r>
  <r>
    <s v="CAND_0759"/>
    <x v="2"/>
    <x v="3"/>
    <x v="745"/>
    <s v="Experienced mobile developer with 0 years working with flutter, communication, app store"/>
    <x v="19"/>
    <n v="0"/>
    <x v="4"/>
    <n v="0.33333333333333331"/>
  </r>
  <r>
    <s v="CAND_0760"/>
    <x v="5"/>
    <x v="1"/>
    <x v="746"/>
    <s v="Experienced project manager with 5 years working with critical thinking, adaptability, communication"/>
    <x v="4"/>
    <n v="1"/>
    <x v="2"/>
    <n v="0.875"/>
  </r>
  <r>
    <s v="CAND_0761"/>
    <x v="11"/>
    <x v="1"/>
    <x v="747"/>
    <s v="Experienced devops engineer with 11 years working with linux, docker, time management"/>
    <x v="7"/>
    <n v="1"/>
    <x v="0"/>
    <n v="1"/>
  </r>
  <r>
    <s v="CAND_0762"/>
    <x v="0"/>
    <x v="4"/>
    <x v="748"/>
    <s v="Experienced project manager with 2 years working with project management, time management, leadership"/>
    <x v="4"/>
    <n v="1"/>
    <x v="2"/>
    <n v="0.875"/>
  </r>
  <r>
    <s v="CAND_0763"/>
    <x v="5"/>
    <x v="2"/>
    <x v="749"/>
    <s v="Experienced business analyst with 5 years working with creativity, requirements analysis, business intelligence"/>
    <x v="2"/>
    <n v="0"/>
    <x v="2"/>
    <n v="0.5"/>
  </r>
  <r>
    <s v="CAND_0764"/>
    <x v="5"/>
    <x v="0"/>
    <x v="750"/>
    <s v="Experienced analyst with 5 years working with r, problem solving, adaptability"/>
    <x v="12"/>
    <n v="0"/>
    <x v="7"/>
    <n v="0.5"/>
  </r>
  <r>
    <s v="CAND_0765"/>
    <x v="3"/>
    <x v="2"/>
    <x v="751"/>
    <s v="Experienced product manager with 8 years working with adaptability, communication, technical skills"/>
    <x v="14"/>
    <n v="1"/>
    <x v="0"/>
    <n v="0.25"/>
  </r>
  <r>
    <s v="CAND_0766"/>
    <x v="12"/>
    <x v="2"/>
    <x v="752"/>
    <s v="Experienced system administrator with 6 years working with adaptability, bash, networking"/>
    <x v="16"/>
    <n v="0"/>
    <x v="1"/>
    <n v="0.4"/>
  </r>
  <r>
    <s v="CAND_0767"/>
    <x v="4"/>
    <x v="4"/>
    <x v="753"/>
    <s v="Experienced digital marketer with 1 years working with sem, critical thinking, analytics"/>
    <x v="18"/>
    <n v="0"/>
    <x v="4"/>
    <n v="1"/>
  </r>
  <r>
    <s v="CAND_0768"/>
    <x v="7"/>
    <x v="0"/>
    <x v="754"/>
    <s v="Experienced business analyst with 4 years working with time management, business intelligence, tableau"/>
    <x v="2"/>
    <n v="0"/>
    <x v="2"/>
    <n v="0.5"/>
  </r>
  <r>
    <s v="CAND_0769"/>
    <x v="7"/>
    <x v="0"/>
    <x v="755"/>
    <s v="Experienced product manager with 4 years working with teamwork, user research, agile"/>
    <x v="14"/>
    <n v="0"/>
    <x v="0"/>
    <n v="0.25"/>
  </r>
  <r>
    <s v="CAND_0770"/>
    <x v="3"/>
    <x v="3"/>
    <x v="756"/>
    <s v="Experienced system administrator with 8 years working with critical thinking, active directory, time management"/>
    <x v="16"/>
    <n v="0"/>
    <x v="1"/>
    <n v="0.4"/>
  </r>
  <r>
    <s v="CAND_0771"/>
    <x v="1"/>
    <x v="4"/>
    <x v="757"/>
    <s v="Experienced product manager with 9 years working with communication, technical skills, roadmap planning"/>
    <x v="14"/>
    <n v="0"/>
    <x v="0"/>
    <n v="0.25"/>
  </r>
  <r>
    <s v="CAND_0772"/>
    <x v="1"/>
    <x v="0"/>
    <x v="758"/>
    <s v="Experienced graphic designer with 9 years working with critical thinking, indesign, web design"/>
    <x v="8"/>
    <n v="0"/>
    <x v="4"/>
    <n v="0.66666666666666663"/>
  </r>
  <r>
    <s v="CAND_0773"/>
    <x v="2"/>
    <x v="0"/>
    <x v="759"/>
    <s v="Experienced system administrator with 0 years working with linux, communication, windows"/>
    <x v="16"/>
    <n v="1"/>
    <x v="1"/>
    <n v="0.4"/>
  </r>
  <r>
    <s v="CAND_0774"/>
    <x v="6"/>
    <x v="0"/>
    <x v="760"/>
    <s v="Experienced devops engineer with 3 years working with linux, kubernetes, docker"/>
    <x v="7"/>
    <n v="1"/>
    <x v="0"/>
    <n v="1"/>
  </r>
  <r>
    <s v="CAND_0775"/>
    <x v="0"/>
    <x v="0"/>
    <x v="761"/>
    <s v="Experienced software developer with 2 years working with communication, time management, programming"/>
    <x v="3"/>
    <n v="1"/>
    <x v="3"/>
    <n v="0.7142857142857143"/>
  </r>
  <r>
    <s v="CAND_0776"/>
    <x v="2"/>
    <x v="4"/>
    <x v="762"/>
    <s v="Experienced analyst with 0 years working with critical thinking, python, time management"/>
    <x v="12"/>
    <n v="1"/>
    <x v="7"/>
    <n v="0.5"/>
  </r>
  <r>
    <s v="CAND_0777"/>
    <x v="8"/>
    <x v="4"/>
    <x v="763"/>
    <s v="Experienced qa engineer with 7 years working with critical thinking, teamwork, manual testing"/>
    <x v="20"/>
    <n v="0"/>
    <x v="4"/>
    <n v="0.66666666666666663"/>
  </r>
  <r>
    <s v="CAND_0778"/>
    <x v="2"/>
    <x v="3"/>
    <x v="764"/>
    <s v="Experienced designer with 0 years working with communication, adobe creative suite, problem solving"/>
    <x v="1"/>
    <n v="1"/>
    <x v="1"/>
    <n v="0.6"/>
  </r>
  <r>
    <s v="CAND_0779"/>
    <x v="7"/>
    <x v="2"/>
    <x v="765"/>
    <s v="Experienced digital marketer with 4 years working with leadership, analytics, google ads"/>
    <x v="18"/>
    <n v="0"/>
    <x v="4"/>
    <n v="1"/>
  </r>
  <r>
    <s v="CAND_0780"/>
    <x v="0"/>
    <x v="4"/>
    <x v="766"/>
    <s v="Experienced data scientist with 2 years working with numpy, python, statistics"/>
    <x v="5"/>
    <n v="1"/>
    <x v="0"/>
    <n v="0.5"/>
  </r>
  <r>
    <s v="CAND_0781"/>
    <x v="4"/>
    <x v="1"/>
    <x v="767"/>
    <s v="Experienced backend developer with 1 years working with java, docker, creativity"/>
    <x v="11"/>
    <n v="0"/>
    <x v="5"/>
    <n v="1"/>
  </r>
  <r>
    <s v="CAND_0782"/>
    <x v="12"/>
    <x v="2"/>
    <x v="768"/>
    <s v="Experienced mobile developer with 6 years working with mobile, react native, communication"/>
    <x v="19"/>
    <n v="1"/>
    <x v="4"/>
    <n v="0.33333333333333331"/>
  </r>
  <r>
    <s v="CAND_0783"/>
    <x v="2"/>
    <x v="2"/>
    <x v="769"/>
    <s v="Experienced frontend developer with 0 years working with critical thinking, adaptability, react"/>
    <x v="6"/>
    <n v="1"/>
    <x v="2"/>
    <n v="0.625"/>
  </r>
  <r>
    <s v="CAND_0784"/>
    <x v="12"/>
    <x v="2"/>
    <x v="770"/>
    <s v="Experienced data scientist with 6 years working with python, adaptability, communication"/>
    <x v="5"/>
    <n v="1"/>
    <x v="0"/>
    <n v="0.5"/>
  </r>
  <r>
    <s v="CAND_0785"/>
    <x v="12"/>
    <x v="3"/>
    <x v="771"/>
    <s v="Experienced ui ux designer with 6 years working with communication, prototyping, html"/>
    <x v="15"/>
    <n v="0"/>
    <x v="5"/>
    <n v="1"/>
  </r>
  <r>
    <s v="CAND_0786"/>
    <x v="8"/>
    <x v="3"/>
    <x v="772"/>
    <s v="Experienced product manager with 7 years working with critical thinking, communication, roadmap planning"/>
    <x v="14"/>
    <n v="1"/>
    <x v="0"/>
    <n v="0.25"/>
  </r>
  <r>
    <s v="CAND_0787"/>
    <x v="4"/>
    <x v="1"/>
    <x v="773"/>
    <s v="Experienced system administrator with 1 years working with time management, bash, security"/>
    <x v="16"/>
    <n v="0"/>
    <x v="1"/>
    <n v="0.4"/>
  </r>
  <r>
    <s v="CAND_0788"/>
    <x v="4"/>
    <x v="2"/>
    <x v="774"/>
    <s v="Experienced content creator with 1 years working with critical thinking, adaptability, content strategy"/>
    <x v="17"/>
    <n v="0"/>
    <x v="4"/>
    <n v="1"/>
  </r>
  <r>
    <s v="CAND_0789"/>
    <x v="7"/>
    <x v="4"/>
    <x v="775"/>
    <s v="Experienced software developer with 4 years working with testing, creativity, programming"/>
    <x v="3"/>
    <n v="1"/>
    <x v="3"/>
    <n v="0.7142857142857143"/>
  </r>
  <r>
    <s v="CAND_0790"/>
    <x v="5"/>
    <x v="3"/>
    <x v="776"/>
    <s v="Experienced content creator with 5 years working with graphic design, communication, content strategy"/>
    <x v="17"/>
    <n v="0"/>
    <x v="4"/>
    <n v="1"/>
  </r>
  <r>
    <s v="CAND_0791"/>
    <x v="2"/>
    <x v="1"/>
    <x v="777"/>
    <s v="Experienced designer with 0 years working with design, css, communication"/>
    <x v="1"/>
    <n v="1"/>
    <x v="1"/>
    <n v="0.6"/>
  </r>
  <r>
    <s v="CAND_0792"/>
    <x v="11"/>
    <x v="1"/>
    <x v="778"/>
    <s v="Experienced software developer with 11 years working with python, teamwork, agile"/>
    <x v="3"/>
    <n v="0"/>
    <x v="3"/>
    <n v="0.7142857142857143"/>
  </r>
  <r>
    <s v="CAND_0793"/>
    <x v="6"/>
    <x v="0"/>
    <x v="779"/>
    <s v="Experienced system administrator with 3 years working with linux, adaptability, windows"/>
    <x v="16"/>
    <n v="1"/>
    <x v="1"/>
    <n v="0.4"/>
  </r>
  <r>
    <s v="CAND_0794"/>
    <x v="12"/>
    <x v="1"/>
    <x v="780"/>
    <s v="Experienced designer with 6 years working with design, teamwork, ui/ux"/>
    <x v="1"/>
    <n v="1"/>
    <x v="1"/>
    <n v="0.6"/>
  </r>
  <r>
    <s v="CAND_0795"/>
    <x v="8"/>
    <x v="1"/>
    <x v="781"/>
    <s v="Experienced digital marketer with 7 years working with digital marketing, critical thinking, communication"/>
    <x v="18"/>
    <n v="1"/>
    <x v="4"/>
    <n v="1"/>
  </r>
  <r>
    <s v="CAND_0796"/>
    <x v="11"/>
    <x v="2"/>
    <x v="782"/>
    <s v="Experienced software developer with 11 years working with python, time management, programming"/>
    <x v="3"/>
    <n v="1"/>
    <x v="3"/>
    <n v="0.7142857142857143"/>
  </r>
  <r>
    <s v="CAND_0797"/>
    <x v="5"/>
    <x v="4"/>
    <x v="783"/>
    <s v="Experienced data scientist with 5 years working with pandas, deep learning, creativity"/>
    <x v="5"/>
    <n v="0"/>
    <x v="0"/>
    <n v="0.5"/>
  </r>
  <r>
    <s v="CAND_0798"/>
    <x v="8"/>
    <x v="4"/>
    <x v="784"/>
    <s v="Experienced designer with 7 years working with critical thinking, ui/ux, time management"/>
    <x v="1"/>
    <n v="0"/>
    <x v="1"/>
    <n v="0.6"/>
  </r>
  <r>
    <s v="CAND_0799"/>
    <x v="2"/>
    <x v="1"/>
    <x v="785"/>
    <s v="Experienced digital marketer with 0 years working with conversion optimization, leadership, critical thinking"/>
    <x v="18"/>
    <n v="0"/>
    <x v="4"/>
    <n v="1"/>
  </r>
  <r>
    <s v="CAND_0800"/>
    <x v="2"/>
    <x v="2"/>
    <x v="786"/>
    <s v="Experienced analyst with 0 years working with critical thinking, communication, data analysis"/>
    <x v="12"/>
    <n v="1"/>
    <x v="7"/>
    <n v="0.5"/>
  </r>
  <r>
    <s v="CAND_0801"/>
    <x v="4"/>
    <x v="4"/>
    <x v="787"/>
    <s v="Experienced fullstack developer with 1 years working with docker, time management, react"/>
    <x v="0"/>
    <n v="0"/>
    <x v="0"/>
    <n v="0.5"/>
  </r>
  <r>
    <s v="CAND_0802"/>
    <x v="10"/>
    <x v="4"/>
    <x v="788"/>
    <s v="Experienced qa engineer with 10 years working with critical thinking, testing, leadership"/>
    <x v="20"/>
    <n v="1"/>
    <x v="4"/>
    <n v="0.66666666666666663"/>
  </r>
  <r>
    <s v="CAND_0803"/>
    <x v="2"/>
    <x v="1"/>
    <x v="789"/>
    <s v="Experienced analyst with 0 years working with python, communication, statistics"/>
    <x v="12"/>
    <n v="1"/>
    <x v="7"/>
    <n v="0.5"/>
  </r>
  <r>
    <s v="CAND_0804"/>
    <x v="3"/>
    <x v="3"/>
    <x v="790"/>
    <s v="Experienced business analyst with 8 years working with python, time management, requirements analysis"/>
    <x v="2"/>
    <n v="0"/>
    <x v="2"/>
    <n v="0.5"/>
  </r>
  <r>
    <s v="CAND_0805"/>
    <x v="12"/>
    <x v="3"/>
    <x v="791"/>
    <s v="Experienced devops engineer with 6 years working with adaptability, gitlab ci, grafana"/>
    <x v="7"/>
    <n v="0"/>
    <x v="0"/>
    <n v="1"/>
  </r>
  <r>
    <s v="CAND_0806"/>
    <x v="5"/>
    <x v="0"/>
    <x v="792"/>
    <s v="Experienced software developer with 5 years working with critical thinking, problem solving, programming"/>
    <x v="3"/>
    <n v="1"/>
    <x v="3"/>
    <n v="0.7142857142857143"/>
  </r>
  <r>
    <s v="CAND_0807"/>
    <x v="8"/>
    <x v="0"/>
    <x v="793"/>
    <s v="Experienced analyst with 7 years working with time management, statistics, reporting"/>
    <x v="12"/>
    <n v="0"/>
    <x v="7"/>
    <n v="0.5"/>
  </r>
  <r>
    <s v="CAND_0808"/>
    <x v="0"/>
    <x v="1"/>
    <x v="794"/>
    <s v="Experienced developer with 2 years working with python, communication, java"/>
    <x v="9"/>
    <n v="0"/>
    <x v="5"/>
    <n v="0.5"/>
  </r>
  <r>
    <s v="CAND_0809"/>
    <x v="6"/>
    <x v="2"/>
    <x v="795"/>
    <s v="Experienced system administrator with 3 years working with teamwork, bash, creativity"/>
    <x v="16"/>
    <n v="0"/>
    <x v="1"/>
    <n v="0.4"/>
  </r>
  <r>
    <s v="CAND_0810"/>
    <x v="6"/>
    <x v="0"/>
    <x v="796"/>
    <s v="Experienced designer with 3 years working with adobe creative suite, ui/ux, time management"/>
    <x v="1"/>
    <n v="0"/>
    <x v="1"/>
    <n v="0.6"/>
  </r>
  <r>
    <s v="CAND_0811"/>
    <x v="6"/>
    <x v="3"/>
    <x v="797"/>
    <s v="Experienced mobile developer with 3 years working with mobile, time management, firebase"/>
    <x v="19"/>
    <n v="1"/>
    <x v="4"/>
    <n v="0.33333333333333331"/>
  </r>
  <r>
    <s v="CAND_0812"/>
    <x v="1"/>
    <x v="4"/>
    <x v="798"/>
    <s v="Experienced fullstack developer with 9 years working with docker, leadership, mongodb"/>
    <x v="0"/>
    <n v="0"/>
    <x v="0"/>
    <n v="0.5"/>
  </r>
  <r>
    <s v="CAND_0813"/>
    <x v="6"/>
    <x v="4"/>
    <x v="799"/>
    <s v="Experienced project manager with 3 years working with communication, creativity, agile"/>
    <x v="4"/>
    <n v="1"/>
    <x v="2"/>
    <n v="0.875"/>
  </r>
  <r>
    <s v="CAND_0814"/>
    <x v="4"/>
    <x v="2"/>
    <x v="800"/>
    <s v="Experienced devops engineer with 1 years working with adaptability, gitlab ci, terraform"/>
    <x v="7"/>
    <n v="0"/>
    <x v="0"/>
    <n v="1"/>
  </r>
  <r>
    <s v="CAND_0815"/>
    <x v="6"/>
    <x v="3"/>
    <x v="801"/>
    <s v="Experienced fullstack developer with 3 years working with critical thinking, teamwork, javascript"/>
    <x v="0"/>
    <n v="1"/>
    <x v="0"/>
    <n v="0.5"/>
  </r>
  <r>
    <s v="CAND_0816"/>
    <x v="8"/>
    <x v="1"/>
    <x v="802"/>
    <s v="Experienced business analyst with 7 years working with python, adaptability, time management"/>
    <x v="2"/>
    <n v="0"/>
    <x v="2"/>
    <n v="0.5"/>
  </r>
  <r>
    <s v="CAND_0817"/>
    <x v="10"/>
    <x v="1"/>
    <x v="803"/>
    <s v="Experienced business analyst with 10 years working with time management, requirements analysis, powerbi"/>
    <x v="2"/>
    <n v="0"/>
    <x v="2"/>
    <n v="0.5"/>
  </r>
  <r>
    <s v="CAND_0818"/>
    <x v="3"/>
    <x v="1"/>
    <x v="804"/>
    <s v="Experienced devops engineer with 8 years working with linux, communication, docker"/>
    <x v="7"/>
    <n v="1"/>
    <x v="0"/>
    <n v="1"/>
  </r>
  <r>
    <s v="CAND_0819"/>
    <x v="11"/>
    <x v="0"/>
    <x v="805"/>
    <s v="Experienced devops engineer with 11 years working with linux, adaptability, communication"/>
    <x v="7"/>
    <n v="1"/>
    <x v="0"/>
    <n v="1"/>
  </r>
  <r>
    <s v="CAND_0820"/>
    <x v="1"/>
    <x v="4"/>
    <x v="806"/>
    <s v="Experienced project manager with 9 years working with critical thinking, communication, project management"/>
    <x v="4"/>
    <n v="1"/>
    <x v="2"/>
    <n v="0.875"/>
  </r>
  <r>
    <s v="CAND_0821"/>
    <x v="12"/>
    <x v="3"/>
    <x v="807"/>
    <s v="Experienced fullstack developer with 6 years working with adaptability, postgresql, mongodb"/>
    <x v="0"/>
    <n v="1"/>
    <x v="0"/>
    <n v="0.5"/>
  </r>
  <r>
    <s v="CAND_0822"/>
    <x v="5"/>
    <x v="2"/>
    <x v="808"/>
    <s v="Experienced content creator with 5 years working with teamwork, video editing"/>
    <x v="17"/>
    <n v="0"/>
    <x v="4"/>
    <n v="1"/>
  </r>
  <r>
    <s v="CAND_0823"/>
    <x v="4"/>
    <x v="4"/>
    <x v="809"/>
    <s v="Experienced data scientist with 1 years working with numpy, python, adaptability"/>
    <x v="5"/>
    <n v="1"/>
    <x v="0"/>
    <n v="0.5"/>
  </r>
  <r>
    <s v="CAND_0824"/>
    <x v="1"/>
    <x v="3"/>
    <x v="810"/>
    <s v="Experienced backend developer with 9 years working with api, java, docker"/>
    <x v="11"/>
    <n v="1"/>
    <x v="5"/>
    <n v="1"/>
  </r>
  <r>
    <s v="CAND_0825"/>
    <x v="8"/>
    <x v="4"/>
    <x v="811"/>
    <s v="Experienced ui ux designer with 7 years working with critical thinking, ui/ux, adobe creative suite"/>
    <x v="15"/>
    <n v="1"/>
    <x v="5"/>
    <n v="1"/>
  </r>
  <r>
    <s v="CAND_0826"/>
    <x v="0"/>
    <x v="3"/>
    <x v="812"/>
    <s v="Experienced project manager with 2 years working with critical thinking, project management, risk management"/>
    <x v="4"/>
    <n v="1"/>
    <x v="2"/>
    <n v="0.875"/>
  </r>
  <r>
    <s v="CAND_0827"/>
    <x v="2"/>
    <x v="0"/>
    <x v="813"/>
    <s v="Experienced designer with 0 years working with adobe creative suite, creativity, html"/>
    <x v="1"/>
    <n v="1"/>
    <x v="1"/>
    <n v="0.6"/>
  </r>
  <r>
    <s v="CAND_0828"/>
    <x v="3"/>
    <x v="1"/>
    <x v="814"/>
    <s v="Experienced developer with 8 years working with python, adaptability, java"/>
    <x v="9"/>
    <n v="1"/>
    <x v="5"/>
    <n v="0.5"/>
  </r>
  <r>
    <s v="CAND_0829"/>
    <x v="12"/>
    <x v="1"/>
    <x v="815"/>
    <s v="Experienced product manager with 6 years working with adaptability, communication, a/b testing"/>
    <x v="14"/>
    <n v="1"/>
    <x v="0"/>
    <n v="0.25"/>
  </r>
  <r>
    <s v="CAND_0830"/>
    <x v="4"/>
    <x v="3"/>
    <x v="816"/>
    <s v="Experienced graphic designer with 1 years working with critical thinking, adaptability, communication"/>
    <x v="8"/>
    <n v="0"/>
    <x v="4"/>
    <n v="0.66666666666666663"/>
  </r>
  <r>
    <s v="CAND_0831"/>
    <x v="5"/>
    <x v="4"/>
    <x v="817"/>
    <s v="Experienced frontend developer with 5 years working with responsive design, teamwork, javascript"/>
    <x v="6"/>
    <n v="1"/>
    <x v="2"/>
    <n v="0.625"/>
  </r>
  <r>
    <s v="CAND_0832"/>
    <x v="5"/>
    <x v="0"/>
    <x v="818"/>
    <s v="Experienced product manager with 5 years working with communication, user research, analytics"/>
    <x v="14"/>
    <n v="1"/>
    <x v="0"/>
    <n v="0.25"/>
  </r>
  <r>
    <s v="CAND_0833"/>
    <x v="3"/>
    <x v="2"/>
    <x v="819"/>
    <s v="Experienced analyst with 8 years working with python, time management, statistics"/>
    <x v="12"/>
    <n v="0"/>
    <x v="7"/>
    <n v="0.5"/>
  </r>
  <r>
    <s v="CAND_0834"/>
    <x v="7"/>
    <x v="1"/>
    <x v="820"/>
    <s v="Experienced developer with 4 years working with python, communication, testing"/>
    <x v="9"/>
    <n v="0"/>
    <x v="5"/>
    <n v="0.5"/>
  </r>
  <r>
    <s v="CAND_0835"/>
    <x v="0"/>
    <x v="1"/>
    <x v="821"/>
    <s v="Experienced fullstack developer with 2 years working with communication, mongodb"/>
    <x v="0"/>
    <n v="0"/>
    <x v="0"/>
    <n v="0.5"/>
  </r>
  <r>
    <s v="CAND_0836"/>
    <x v="11"/>
    <x v="2"/>
    <x v="822"/>
    <s v="Experienced software developer with 11 years working with teamwork, creativity, programming"/>
    <x v="3"/>
    <n v="1"/>
    <x v="3"/>
    <n v="0.7142857142857143"/>
  </r>
  <r>
    <s v="CAND_0837"/>
    <x v="4"/>
    <x v="2"/>
    <x v="823"/>
    <s v="Experienced data analyst with 1 years working with critical thinking, pandas, creativity"/>
    <x v="10"/>
    <n v="1"/>
    <x v="6"/>
    <n v="0.63636363636363635"/>
  </r>
  <r>
    <s v="CAND_0838"/>
    <x v="7"/>
    <x v="0"/>
    <x v="824"/>
    <s v="Experienced ui ux designer with 4 years working with leadership, teamwork, css"/>
    <x v="15"/>
    <n v="0"/>
    <x v="5"/>
    <n v="1"/>
  </r>
  <r>
    <s v="CAND_0839"/>
    <x v="0"/>
    <x v="4"/>
    <x v="825"/>
    <s v="Experienced web developer with 2 years working with typescript, problem solving, teamwork"/>
    <x v="13"/>
    <n v="0"/>
    <x v="0"/>
    <n v="0.5"/>
  </r>
  <r>
    <s v="CAND_0840"/>
    <x v="4"/>
    <x v="4"/>
    <x v="826"/>
    <s v="Experienced frontend developer with 1 years working with adaptability, responsive design, webpack"/>
    <x v="6"/>
    <n v="0"/>
    <x v="2"/>
    <n v="0.625"/>
  </r>
  <r>
    <s v="CAND_0841"/>
    <x v="10"/>
    <x v="4"/>
    <x v="827"/>
    <s v="Experienced devops engineer with 10 years working with problem solving, adaptability, communication"/>
    <x v="7"/>
    <n v="0"/>
    <x v="0"/>
    <n v="1"/>
  </r>
  <r>
    <s v="CAND_0842"/>
    <x v="2"/>
    <x v="2"/>
    <x v="828"/>
    <s v="Experienced designer with 0 years working with ui/ux, communication, figma"/>
    <x v="1"/>
    <n v="0"/>
    <x v="1"/>
    <n v="0.6"/>
  </r>
  <r>
    <s v="CAND_0843"/>
    <x v="0"/>
    <x v="2"/>
    <x v="829"/>
    <s v="Experienced frontend developer with 2 years working with problem solving, sass, typescript"/>
    <x v="6"/>
    <n v="0"/>
    <x v="2"/>
    <n v="0.625"/>
  </r>
  <r>
    <s v="CAND_0844"/>
    <x v="2"/>
    <x v="2"/>
    <x v="830"/>
    <s v="Experienced web developer with 0 years working with adaptability, leadership, teamwork"/>
    <x v="13"/>
    <n v="1"/>
    <x v="0"/>
    <n v="0.5"/>
  </r>
  <r>
    <s v="CAND_0845"/>
    <x v="8"/>
    <x v="2"/>
    <x v="831"/>
    <s v="Experienced business analyst with 7 years working with critical thinking, problem solving, adaptability"/>
    <x v="2"/>
    <n v="0"/>
    <x v="2"/>
    <n v="0.5"/>
  </r>
  <r>
    <s v="CAND_0846"/>
    <x v="6"/>
    <x v="4"/>
    <x v="832"/>
    <s v="Experienced fullstack developer with 3 years working with time management, problem solving, leadership"/>
    <x v="0"/>
    <n v="1"/>
    <x v="0"/>
    <n v="0.5"/>
  </r>
  <r>
    <s v="CAND_0847"/>
    <x v="8"/>
    <x v="0"/>
    <x v="833"/>
    <s v="Experienced system administrator with 7 years working with monitoring, networking, communication"/>
    <x v="16"/>
    <n v="0"/>
    <x v="1"/>
    <n v="0.4"/>
  </r>
  <r>
    <s v="CAND_0848"/>
    <x v="0"/>
    <x v="3"/>
    <x v="834"/>
    <s v="Experienced system administrator with 2 years working with critical thinking, linux, communication"/>
    <x v="16"/>
    <n v="1"/>
    <x v="1"/>
    <n v="0.4"/>
  </r>
  <r>
    <s v="CAND_0849"/>
    <x v="6"/>
    <x v="0"/>
    <x v="835"/>
    <s v="Experienced system administrator with 3 years working with critical thinking, linux, windows"/>
    <x v="16"/>
    <n v="1"/>
    <x v="1"/>
    <n v="0.4"/>
  </r>
  <r>
    <s v="CAND_0850"/>
    <x v="2"/>
    <x v="2"/>
    <x v="836"/>
    <s v="Experienced digital marketer with 0 years working with digital marketing, critical thinking, adaptability"/>
    <x v="18"/>
    <n v="1"/>
    <x v="4"/>
    <n v="1"/>
  </r>
  <r>
    <s v="CAND_0851"/>
    <x v="12"/>
    <x v="4"/>
    <x v="837"/>
    <s v="Experienced backend developer with 6 years working with python, api, creativity"/>
    <x v="11"/>
    <n v="1"/>
    <x v="5"/>
    <n v="1"/>
  </r>
  <r>
    <s v="CAND_0852"/>
    <x v="5"/>
    <x v="4"/>
    <x v="838"/>
    <s v="Experienced analyst with 5 years working with adaptability, time management, data analysis"/>
    <x v="12"/>
    <n v="1"/>
    <x v="7"/>
    <n v="0.5"/>
  </r>
  <r>
    <s v="CAND_0853"/>
    <x v="4"/>
    <x v="1"/>
    <x v="839"/>
    <s v="Experienced devops engineer with 1 years working with linux, docker, gitlab ci"/>
    <x v="7"/>
    <n v="1"/>
    <x v="0"/>
    <n v="1"/>
  </r>
  <r>
    <s v="CAND_0854"/>
    <x v="4"/>
    <x v="3"/>
    <x v="840"/>
    <s v="Experienced fullstack developer with 1 years working with adaptability, docker, time management"/>
    <x v="0"/>
    <n v="1"/>
    <x v="0"/>
    <n v="0.5"/>
  </r>
  <r>
    <s v="CAND_0855"/>
    <x v="5"/>
    <x v="0"/>
    <x v="841"/>
    <s v="Experienced developer with 5 years working with critical thinking, python, javascript"/>
    <x v="9"/>
    <n v="0"/>
    <x v="5"/>
    <n v="0.5"/>
  </r>
  <r>
    <s v="CAND_0856"/>
    <x v="10"/>
    <x v="1"/>
    <x v="842"/>
    <s v="Experienced data scientist with 10 years working with numpy, python, pandas"/>
    <x v="5"/>
    <n v="1"/>
    <x v="0"/>
    <n v="0.5"/>
  </r>
  <r>
    <s v="CAND_0857"/>
    <x v="3"/>
    <x v="0"/>
    <x v="843"/>
    <s v="Experienced fullstack developer with 8 years working with critical thinking, docker, creativity"/>
    <x v="0"/>
    <n v="1"/>
    <x v="0"/>
    <n v="0.5"/>
  </r>
  <r>
    <s v="CAND_0858"/>
    <x v="12"/>
    <x v="1"/>
    <x v="844"/>
    <s v="Experienced graphic designer with 6 years working with web design, adobe creative suite, creativity"/>
    <x v="8"/>
    <n v="1"/>
    <x v="4"/>
    <n v="0.66666666666666663"/>
  </r>
  <r>
    <s v="CAND_0859"/>
    <x v="5"/>
    <x v="1"/>
    <x v="845"/>
    <s v="Experienced data scientist with 5 years working with numpy, pandas, hadoop"/>
    <x v="5"/>
    <n v="0"/>
    <x v="0"/>
    <n v="0.5"/>
  </r>
  <r>
    <s v="CAND_0860"/>
    <x v="2"/>
    <x v="1"/>
    <x v="846"/>
    <s v="Experienced backend developer with 0 years working with api, kubernetes, java"/>
    <x v="11"/>
    <n v="1"/>
    <x v="5"/>
    <n v="1"/>
  </r>
  <r>
    <s v="CAND_0861"/>
    <x v="8"/>
    <x v="4"/>
    <x v="847"/>
    <s v="Experienced analyst with 7 years working with critical thinking, time management, statistics"/>
    <x v="12"/>
    <n v="0"/>
    <x v="7"/>
    <n v="0.5"/>
  </r>
  <r>
    <s v="CAND_0862"/>
    <x v="3"/>
    <x v="0"/>
    <x v="848"/>
    <s v="Experienced backend developer with 8 years working with python, api, java"/>
    <x v="11"/>
    <n v="1"/>
    <x v="5"/>
    <n v="1"/>
  </r>
  <r>
    <s v="CAND_0863"/>
    <x v="4"/>
    <x v="1"/>
    <x v="849"/>
    <s v="Experienced web developer with 1 years working with html, creativity, webpack"/>
    <x v="13"/>
    <n v="1"/>
    <x v="0"/>
    <n v="0.5"/>
  </r>
  <r>
    <s v="CAND_0864"/>
    <x v="2"/>
    <x v="1"/>
    <x v="850"/>
    <s v="Experienced business analyst with 0 years working with adaptability, requirements analysis, excel"/>
    <x v="2"/>
    <n v="1"/>
    <x v="2"/>
    <n v="0.5"/>
  </r>
  <r>
    <s v="CAND_0865"/>
    <x v="4"/>
    <x v="3"/>
    <x v="851"/>
    <s v="Experienced developer with 1 years working with adaptability, programming, leadership"/>
    <x v="9"/>
    <n v="1"/>
    <x v="5"/>
    <n v="0.5"/>
  </r>
  <r>
    <s v="CAND_0866"/>
    <x v="10"/>
    <x v="0"/>
    <x v="852"/>
    <s v="Experienced fullstack developer with 10 years working with python, docker, time management"/>
    <x v="0"/>
    <n v="1"/>
    <x v="0"/>
    <n v="0.5"/>
  </r>
  <r>
    <s v="CAND_0867"/>
    <x v="2"/>
    <x v="4"/>
    <x v="853"/>
    <s v="Experienced designer with 0 years working with adaptability, communication, leadership"/>
    <x v="1"/>
    <n v="1"/>
    <x v="1"/>
    <n v="0.6"/>
  </r>
  <r>
    <s v="CAND_0868"/>
    <x v="4"/>
    <x v="3"/>
    <x v="854"/>
    <s v="Experienced data analyst with 1 years working with pandas, time management, excel"/>
    <x v="10"/>
    <n v="1"/>
    <x v="6"/>
    <n v="0.63636363636363635"/>
  </r>
  <r>
    <s v="CAND_0869"/>
    <x v="4"/>
    <x v="3"/>
    <x v="855"/>
    <s v="Experienced frontend developer with 1 years working with communication, time management, webpack"/>
    <x v="6"/>
    <n v="0"/>
    <x v="2"/>
    <n v="0.625"/>
  </r>
  <r>
    <s v="CAND_0870"/>
    <x v="4"/>
    <x v="3"/>
    <x v="856"/>
    <s v="Experienced content creator with 1 years working with content writing, communication, copywriting"/>
    <x v="17"/>
    <n v="1"/>
    <x v="4"/>
    <n v="1"/>
  </r>
  <r>
    <s v="CAND_0871"/>
    <x v="4"/>
    <x v="0"/>
    <x v="857"/>
    <s v="Experienced qa engineer with 1 years working with critical thinking, leadership, ci/cd"/>
    <x v="20"/>
    <n v="0"/>
    <x v="4"/>
    <n v="0.66666666666666663"/>
  </r>
  <r>
    <s v="CAND_0872"/>
    <x v="10"/>
    <x v="4"/>
    <x v="858"/>
    <s v="Experienced devops engineer with 10 years working with teamwork, gitlab ci, grafana"/>
    <x v="7"/>
    <n v="0"/>
    <x v="0"/>
    <n v="1"/>
  </r>
  <r>
    <s v="CAND_0873"/>
    <x v="3"/>
    <x v="4"/>
    <x v="859"/>
    <s v="Experienced designer with 8 years working with critical thinking, ui/ux, adobe creative suite"/>
    <x v="1"/>
    <n v="1"/>
    <x v="1"/>
    <n v="0.6"/>
  </r>
  <r>
    <s v="CAND_0874"/>
    <x v="2"/>
    <x v="4"/>
    <x v="860"/>
    <s v="Experienced data scientist with 0 years working with leadership, adaptability, time management"/>
    <x v="5"/>
    <n v="0"/>
    <x v="0"/>
    <n v="0.5"/>
  </r>
  <r>
    <s v="CAND_0875"/>
    <x v="6"/>
    <x v="0"/>
    <x v="861"/>
    <s v="Experienced qa engineer with 3 years working with critical thinking, testing, creativity"/>
    <x v="20"/>
    <n v="1"/>
    <x v="4"/>
    <n v="0.66666666666666663"/>
  </r>
  <r>
    <s v="CAND_0876"/>
    <x v="1"/>
    <x v="1"/>
    <x v="862"/>
    <s v="Experienced qa engineer with 9 years working with adaptability, testing, quality assurance"/>
    <x v="20"/>
    <n v="1"/>
    <x v="4"/>
    <n v="0.66666666666666663"/>
  </r>
  <r>
    <s v="CAND_0877"/>
    <x v="2"/>
    <x v="4"/>
    <x v="863"/>
    <s v="Experienced designer with 0 years working with adobe creative suite, creativity, html"/>
    <x v="1"/>
    <n v="1"/>
    <x v="1"/>
    <n v="0.6"/>
  </r>
  <r>
    <s v="CAND_0878"/>
    <x v="0"/>
    <x v="2"/>
    <x v="864"/>
    <s v="Experienced project manager with 2 years working with critical thinking, jira, communication"/>
    <x v="4"/>
    <n v="1"/>
    <x v="2"/>
    <n v="0.875"/>
  </r>
  <r>
    <s v="CAND_0879"/>
    <x v="2"/>
    <x v="0"/>
    <x v="865"/>
    <s v="Experienced qa engineer with 0 years working with api testing, leadership, teamwork"/>
    <x v="20"/>
    <n v="0"/>
    <x v="4"/>
    <n v="0.66666666666666663"/>
  </r>
  <r>
    <s v="CAND_0880"/>
    <x v="12"/>
    <x v="2"/>
    <x v="866"/>
    <s v="Experienced qa engineer with 6 years working with adaptability, communication, testing"/>
    <x v="20"/>
    <n v="1"/>
    <x v="4"/>
    <n v="0.66666666666666663"/>
  </r>
  <r>
    <s v="CAND_0881"/>
    <x v="1"/>
    <x v="1"/>
    <x v="867"/>
    <s v="Experienced data analyst with 9 years working with python, adaptability, creativity"/>
    <x v="10"/>
    <n v="0"/>
    <x v="6"/>
    <n v="0.63636363636363635"/>
  </r>
  <r>
    <s v="CAND_0882"/>
    <x v="2"/>
    <x v="2"/>
    <x v="868"/>
    <s v="Experienced system administrator with 0 years working with linux, communication, windows"/>
    <x v="16"/>
    <n v="1"/>
    <x v="1"/>
    <n v="0.4"/>
  </r>
  <r>
    <s v="CAND_0883"/>
    <x v="5"/>
    <x v="0"/>
    <x v="869"/>
    <s v="Experienced frontend developer with 5 years working with ui/ux, communication, webpack"/>
    <x v="6"/>
    <n v="1"/>
    <x v="2"/>
    <n v="0.625"/>
  </r>
  <r>
    <s v="CAND_0884"/>
    <x v="2"/>
    <x v="1"/>
    <x v="870"/>
    <s v="Experienced qa engineer with 0 years working with selenium, teamwork, manual testing"/>
    <x v="20"/>
    <n v="0"/>
    <x v="4"/>
    <n v="0.66666666666666663"/>
  </r>
  <r>
    <s v="CAND_0885"/>
    <x v="8"/>
    <x v="0"/>
    <x v="871"/>
    <s v="Experienced content creator with 7 years working with graphic design, seo, content writing"/>
    <x v="17"/>
    <n v="1"/>
    <x v="4"/>
    <n v="1"/>
  </r>
  <r>
    <s v="CAND_0886"/>
    <x v="12"/>
    <x v="4"/>
    <x v="872"/>
    <s v="Experienced developer with 6 years working with teamwork, creativity, git"/>
    <x v="9"/>
    <n v="0"/>
    <x v="5"/>
    <n v="0.5"/>
  </r>
  <r>
    <s v="CAND_0887"/>
    <x v="4"/>
    <x v="1"/>
    <x v="873"/>
    <s v="Experienced digital marketer with 1 years working with sem, content marketing, communication"/>
    <x v="18"/>
    <n v="0"/>
    <x v="4"/>
    <n v="1"/>
  </r>
  <r>
    <s v="CAND_0888"/>
    <x v="3"/>
    <x v="2"/>
    <x v="874"/>
    <s v="Experienced designer with 8 years working with teamwork, creativity, communication"/>
    <x v="1"/>
    <n v="0"/>
    <x v="1"/>
    <n v="0.6"/>
  </r>
  <r>
    <s v="CAND_0889"/>
    <x v="1"/>
    <x v="2"/>
    <x v="875"/>
    <s v="Experienced qa engineer with 9 years working with selenium, teamwork, automation testing"/>
    <x v="20"/>
    <n v="0"/>
    <x v="4"/>
    <n v="0.66666666666666663"/>
  </r>
  <r>
    <s v="CAND_0890"/>
    <x v="4"/>
    <x v="3"/>
    <x v="876"/>
    <s v="Experienced software developer with 1 years working with adaptability, java"/>
    <x v="3"/>
    <n v="0"/>
    <x v="3"/>
    <n v="0.7142857142857143"/>
  </r>
  <r>
    <s v="CAND_0891"/>
    <x v="5"/>
    <x v="3"/>
    <x v="877"/>
    <s v="Experienced mobile developer with 5 years working with java, mobile, kotlin"/>
    <x v="19"/>
    <n v="1"/>
    <x v="4"/>
    <n v="0.33333333333333331"/>
  </r>
  <r>
    <s v="CAND_0892"/>
    <x v="10"/>
    <x v="1"/>
    <x v="878"/>
    <s v="Experienced devops engineer with 10 years working with docker, linux, creativity"/>
    <x v="7"/>
    <n v="1"/>
    <x v="0"/>
    <n v="1"/>
  </r>
  <r>
    <s v="CAND_0893"/>
    <x v="7"/>
    <x v="4"/>
    <x v="879"/>
    <s v="Experienced graphic designer with 4 years working with adaptability, typography, adobe creative suite"/>
    <x v="8"/>
    <n v="1"/>
    <x v="4"/>
    <n v="0.66666666666666663"/>
  </r>
  <r>
    <s v="CAND_0894"/>
    <x v="5"/>
    <x v="3"/>
    <x v="880"/>
    <s v="Experienced designer with 5 years working with adobe creative suite, time management, problem solving"/>
    <x v="1"/>
    <n v="1"/>
    <x v="1"/>
    <n v="0.6"/>
  </r>
  <r>
    <s v="CAND_0895"/>
    <x v="8"/>
    <x v="3"/>
    <x v="881"/>
    <s v="Experienced project manager with 7 years working with adaptability, jira, communication"/>
    <x v="4"/>
    <n v="0"/>
    <x v="2"/>
    <n v="0.875"/>
  </r>
  <r>
    <s v="CAND_0896"/>
    <x v="4"/>
    <x v="2"/>
    <x v="882"/>
    <s v="Experienced graphic designer with 1 years working with critical thinking, communication, adobe creative suite"/>
    <x v="8"/>
    <n v="1"/>
    <x v="4"/>
    <n v="0.66666666666666663"/>
  </r>
  <r>
    <s v="CAND_0897"/>
    <x v="8"/>
    <x v="4"/>
    <x v="883"/>
    <s v="Experienced digital marketer with 7 years working with digital marketing, adaptability, email marketing"/>
    <x v="18"/>
    <n v="1"/>
    <x v="4"/>
    <n v="1"/>
  </r>
  <r>
    <s v="CAND_0898"/>
    <x v="10"/>
    <x v="3"/>
    <x v="884"/>
    <s v="Experienced web developer with 10 years working with critical thinking, time management, creativity"/>
    <x v="13"/>
    <n v="1"/>
    <x v="0"/>
    <n v="0.5"/>
  </r>
  <r>
    <s v="CAND_0899"/>
    <x v="3"/>
    <x v="1"/>
    <x v="885"/>
    <s v="Experienced analyst with 8 years working with python, statistics, tableau"/>
    <x v="12"/>
    <n v="0"/>
    <x v="7"/>
    <n v="0.5"/>
  </r>
  <r>
    <s v="CAND_0900"/>
    <x v="1"/>
    <x v="3"/>
    <x v="886"/>
    <s v="Experienced backend developer with 9 years working with python, api, java"/>
    <x v="11"/>
    <n v="1"/>
    <x v="5"/>
    <n v="1"/>
  </r>
  <r>
    <s v="CAND_0901"/>
    <x v="7"/>
    <x v="3"/>
    <x v="887"/>
    <s v="Experienced developer with 4 years working with python, time management, sql"/>
    <x v="9"/>
    <n v="1"/>
    <x v="5"/>
    <n v="0.5"/>
  </r>
  <r>
    <s v="CAND_0902"/>
    <x v="0"/>
    <x v="1"/>
    <x v="888"/>
    <s v="Experienced devops engineer with 2 years working with critical thinking, linux, communication"/>
    <x v="7"/>
    <n v="1"/>
    <x v="0"/>
    <n v="1"/>
  </r>
  <r>
    <s v="CAND_0903"/>
    <x v="5"/>
    <x v="1"/>
    <x v="889"/>
    <s v="Experienced graphic designer with 5 years working with adobe creative suite, time management, problem solving"/>
    <x v="8"/>
    <n v="1"/>
    <x v="4"/>
    <n v="0.66666666666666663"/>
  </r>
  <r>
    <s v="CAND_0904"/>
    <x v="12"/>
    <x v="1"/>
    <x v="890"/>
    <s v="Experienced backend developer with 6 years working with python, api, time management"/>
    <x v="11"/>
    <n v="1"/>
    <x v="5"/>
    <n v="1"/>
  </r>
  <r>
    <s v="CAND_0905"/>
    <x v="12"/>
    <x v="4"/>
    <x v="891"/>
    <s v="Experienced ui ux designer with 6 years working with critical thinking, communication, teamwork"/>
    <x v="15"/>
    <n v="0"/>
    <x v="5"/>
    <n v="1"/>
  </r>
  <r>
    <s v="CAND_0906"/>
    <x v="2"/>
    <x v="2"/>
    <x v="892"/>
    <s v="Experienced qa engineer with 0 years working with testing, performance testing, problem solving"/>
    <x v="20"/>
    <n v="1"/>
    <x v="4"/>
    <n v="0.66666666666666663"/>
  </r>
  <r>
    <s v="CAND_0907"/>
    <x v="4"/>
    <x v="0"/>
    <x v="893"/>
    <s v="Experienced content creator with 1 years working with content writing, communication, content strategy"/>
    <x v="17"/>
    <n v="1"/>
    <x v="4"/>
    <n v="1"/>
  </r>
  <r>
    <s v="CAND_0908"/>
    <x v="3"/>
    <x v="2"/>
    <x v="894"/>
    <s v="Experienced analyst with 8 years working with python, time management, data analysis"/>
    <x v="12"/>
    <n v="1"/>
    <x v="7"/>
    <n v="0.5"/>
  </r>
  <r>
    <s v="CAND_0909"/>
    <x v="5"/>
    <x v="3"/>
    <x v="895"/>
    <s v="Experienced ui ux designer with 5 years working with time management, css"/>
    <x v="15"/>
    <n v="0"/>
    <x v="5"/>
    <n v="1"/>
  </r>
  <r>
    <s v="CAND_0910"/>
    <x v="4"/>
    <x v="4"/>
    <x v="896"/>
    <s v="Experienced analyst with 1 years working with adaptability, data analysis, excel"/>
    <x v="12"/>
    <n v="1"/>
    <x v="7"/>
    <n v="0.5"/>
  </r>
  <r>
    <s v="CAND_0911"/>
    <x v="10"/>
    <x v="4"/>
    <x v="897"/>
    <s v="Experienced fullstack developer with 10 years working with critical thinking, python, adaptability"/>
    <x v="0"/>
    <n v="0"/>
    <x v="0"/>
    <n v="0.5"/>
  </r>
  <r>
    <s v="CAND_0912"/>
    <x v="5"/>
    <x v="1"/>
    <x v="898"/>
    <s v="Experienced content creator with 5 years working with graphic design, seo, communication"/>
    <x v="17"/>
    <n v="0"/>
    <x v="4"/>
    <n v="1"/>
  </r>
  <r>
    <s v="CAND_0913"/>
    <x v="10"/>
    <x v="1"/>
    <x v="899"/>
    <s v="Experienced frontend developer with 10 years working with leadership, sass"/>
    <x v="6"/>
    <n v="0"/>
    <x v="2"/>
    <n v="0.625"/>
  </r>
  <r>
    <s v="CAND_0914"/>
    <x v="12"/>
    <x v="2"/>
    <x v="900"/>
    <s v="Experienced web developer with 6 years working with html, problem solving, php"/>
    <x v="13"/>
    <n v="1"/>
    <x v="0"/>
    <n v="0.5"/>
  </r>
  <r>
    <s v="CAND_0915"/>
    <x v="2"/>
    <x v="3"/>
    <x v="901"/>
    <s v="Experienced business analyst with 0 years working with leadership, requirements analysis, excel"/>
    <x v="2"/>
    <n v="1"/>
    <x v="2"/>
    <n v="0.5"/>
  </r>
  <r>
    <s v="CAND_0916"/>
    <x v="8"/>
    <x v="0"/>
    <x v="902"/>
    <s v="Experienced data analyst with 7 years working with critical thinking, machine learning, teamwork"/>
    <x v="10"/>
    <n v="0"/>
    <x v="6"/>
    <n v="0.63636363636363635"/>
  </r>
  <r>
    <s v="CAND_0917"/>
    <x v="7"/>
    <x v="2"/>
    <x v="903"/>
    <s v="Experienced analyst with 4 years working with python, adaptability, time management"/>
    <x v="12"/>
    <n v="1"/>
    <x v="7"/>
    <n v="0.5"/>
  </r>
  <r>
    <s v="CAND_0918"/>
    <x v="12"/>
    <x v="0"/>
    <x v="904"/>
    <s v="Experienced project manager with 6 years working with leadership, jira, communication"/>
    <x v="4"/>
    <n v="0"/>
    <x v="2"/>
    <n v="0.875"/>
  </r>
  <r>
    <s v="CAND_0919"/>
    <x v="12"/>
    <x v="0"/>
    <x v="905"/>
    <s v="Experienced digital marketer with 6 years working with digital marketing, seo, conversion optimization"/>
    <x v="18"/>
    <n v="1"/>
    <x v="4"/>
    <n v="1"/>
  </r>
  <r>
    <s v="CAND_0920"/>
    <x v="4"/>
    <x v="2"/>
    <x v="906"/>
    <s v="Experienced qa engineer with 1 years working with critical thinking, testing, problem solving"/>
    <x v="20"/>
    <n v="1"/>
    <x v="4"/>
    <n v="0.66666666666666663"/>
  </r>
  <r>
    <s v="CAND_0921"/>
    <x v="4"/>
    <x v="4"/>
    <x v="907"/>
    <s v="Experienced software developer with 1 years working with python, java, programming"/>
    <x v="3"/>
    <n v="1"/>
    <x v="3"/>
    <n v="0.7142857142857143"/>
  </r>
  <r>
    <s v="CAND_0922"/>
    <x v="3"/>
    <x v="1"/>
    <x v="908"/>
    <s v="Experienced backend developer with 8 years working with critical thinking, python, api"/>
    <x v="11"/>
    <n v="1"/>
    <x v="5"/>
    <n v="1"/>
  </r>
  <r>
    <s v="CAND_0923"/>
    <x v="6"/>
    <x v="4"/>
    <x v="909"/>
    <s v="Experienced content creator with 3 years working with content strategy, time management, creativity"/>
    <x v="17"/>
    <n v="0"/>
    <x v="4"/>
    <n v="1"/>
  </r>
  <r>
    <s v="CAND_0924"/>
    <x v="0"/>
    <x v="2"/>
    <x v="910"/>
    <s v="Experienced graphic designer with 2 years working with indesign, illustrator, adobe creative suite"/>
    <x v="8"/>
    <n v="1"/>
    <x v="4"/>
    <n v="0.66666666666666663"/>
  </r>
  <r>
    <s v="CAND_0925"/>
    <x v="4"/>
    <x v="4"/>
    <x v="911"/>
    <s v="Experienced business analyst with 1 years working with critical thinking, python, time management"/>
    <x v="2"/>
    <n v="1"/>
    <x v="2"/>
    <n v="0.5"/>
  </r>
  <r>
    <s v="CAND_0926"/>
    <x v="7"/>
    <x v="2"/>
    <x v="912"/>
    <s v="Experienced fullstack developer with 4 years working with communication, react, teamwork"/>
    <x v="0"/>
    <n v="1"/>
    <x v="0"/>
    <n v="0.5"/>
  </r>
  <r>
    <s v="CAND_0927"/>
    <x v="2"/>
    <x v="0"/>
    <x v="913"/>
    <s v="Experienced software developer with 0 years working with docker, programming, problem solving"/>
    <x v="3"/>
    <n v="1"/>
    <x v="3"/>
    <n v="0.7142857142857143"/>
  </r>
  <r>
    <s v="CAND_0928"/>
    <x v="3"/>
    <x v="2"/>
    <x v="914"/>
    <s v="Experienced devops engineer with 8 years working with time management, adaptability"/>
    <x v="7"/>
    <n v="0"/>
    <x v="0"/>
    <n v="1"/>
  </r>
  <r>
    <s v="CAND_0929"/>
    <x v="8"/>
    <x v="1"/>
    <x v="915"/>
    <s v="Experienced frontend developer with 7 years working with adaptability, react"/>
    <x v="6"/>
    <n v="0"/>
    <x v="2"/>
    <n v="0.625"/>
  </r>
  <r>
    <s v="CAND_0930"/>
    <x v="1"/>
    <x v="2"/>
    <x v="916"/>
    <s v="Experienced content creator with 9 years working with leadership"/>
    <x v="17"/>
    <n v="0"/>
    <x v="4"/>
    <n v="1"/>
  </r>
  <r>
    <s v="CAND_0931"/>
    <x v="1"/>
    <x v="0"/>
    <x v="917"/>
    <s v="Experienced fullstack developer with 9 years working with communication, mongodb, aws"/>
    <x v="0"/>
    <n v="0"/>
    <x v="0"/>
    <n v="0.5"/>
  </r>
  <r>
    <s v="CAND_0932"/>
    <x v="0"/>
    <x v="3"/>
    <x v="918"/>
    <s v="Experienced mobile developer with 2 years working with critical thinking, problem solving, communication"/>
    <x v="19"/>
    <n v="0"/>
    <x v="4"/>
    <n v="0.33333333333333331"/>
  </r>
  <r>
    <s v="CAND_0933"/>
    <x v="2"/>
    <x v="0"/>
    <x v="919"/>
    <s v="Experienced devops engineer with 0 years working with time management, jenkins, azure"/>
    <x v="7"/>
    <n v="0"/>
    <x v="0"/>
    <n v="1"/>
  </r>
  <r>
    <s v="CAND_0934"/>
    <x v="6"/>
    <x v="0"/>
    <x v="920"/>
    <s v="Experienced fullstack developer with 3 years working with critical thinking, adaptability, docker"/>
    <x v="0"/>
    <n v="1"/>
    <x v="0"/>
    <n v="0.5"/>
  </r>
  <r>
    <s v="CAND_0935"/>
    <x v="1"/>
    <x v="2"/>
    <x v="921"/>
    <s v="Experienced analyst with 9 years working with critical thinking, statistics, data analysis"/>
    <x v="12"/>
    <n v="1"/>
    <x v="7"/>
    <n v="0.5"/>
  </r>
  <r>
    <s v="CAND_0936"/>
    <x v="10"/>
    <x v="4"/>
    <x v="922"/>
    <s v="Experienced business analyst with 10 years working with r, problem solving, creativity"/>
    <x v="2"/>
    <n v="0"/>
    <x v="2"/>
    <n v="0.5"/>
  </r>
  <r>
    <s v="CAND_0937"/>
    <x v="12"/>
    <x v="4"/>
    <x v="923"/>
    <s v="Experienced content creator with 6 years working with seo, content writing, communication"/>
    <x v="17"/>
    <n v="1"/>
    <x v="4"/>
    <n v="1"/>
  </r>
  <r>
    <s v="CAND_0938"/>
    <x v="12"/>
    <x v="2"/>
    <x v="924"/>
    <s v="Experienced backend developer with 6 years working with api, time management, creativity"/>
    <x v="11"/>
    <n v="1"/>
    <x v="5"/>
    <n v="1"/>
  </r>
  <r>
    <s v="CAND_0939"/>
    <x v="1"/>
    <x v="4"/>
    <x v="925"/>
    <s v="Experienced qa engineer with 9 years working with testing, time management, creativity"/>
    <x v="20"/>
    <n v="1"/>
    <x v="4"/>
    <n v="0.66666666666666663"/>
  </r>
  <r>
    <s v="CAND_0940"/>
    <x v="2"/>
    <x v="1"/>
    <x v="926"/>
    <s v="Experienced devops engineer with 0 years working with adaptability, azure, terraform"/>
    <x v="7"/>
    <n v="0"/>
    <x v="0"/>
    <n v="1"/>
  </r>
  <r>
    <s v="CAND_0941"/>
    <x v="7"/>
    <x v="4"/>
    <x v="927"/>
    <s v="Experienced product manager with 4 years working with communication, time management, a/b testing"/>
    <x v="14"/>
    <n v="1"/>
    <x v="0"/>
    <n v="0.25"/>
  </r>
  <r>
    <s v="CAND_0942"/>
    <x v="0"/>
    <x v="2"/>
    <x v="928"/>
    <s v="Experienced graphic designer with 2 years working with adobe creative suite, design, color theory"/>
    <x v="8"/>
    <n v="1"/>
    <x v="4"/>
    <n v="0.66666666666666663"/>
  </r>
  <r>
    <s v="CAND_0943"/>
    <x v="2"/>
    <x v="4"/>
    <x v="929"/>
    <s v="Experienced content creator with 0 years working with critical thinking, adaptability, copywriting"/>
    <x v="17"/>
    <n v="0"/>
    <x v="4"/>
    <n v="1"/>
  </r>
  <r>
    <s v="CAND_0944"/>
    <x v="2"/>
    <x v="3"/>
    <x v="930"/>
    <s v="Experienced designer with 0 years working with ui/ux, adaptability, problem solving"/>
    <x v="1"/>
    <n v="0"/>
    <x v="1"/>
    <n v="0.6"/>
  </r>
  <r>
    <s v="CAND_0945"/>
    <x v="4"/>
    <x v="2"/>
    <x v="931"/>
    <s v="Experienced ui ux designer with 1 years working with ui/ux, adaptability, adobe creative suite"/>
    <x v="15"/>
    <n v="1"/>
    <x v="5"/>
    <n v="1"/>
  </r>
  <r>
    <s v="CAND_0946"/>
    <x v="2"/>
    <x v="1"/>
    <x v="932"/>
    <s v="Experienced mobile developer with 0 years working with critical thinking, mobile, problem solving"/>
    <x v="19"/>
    <n v="1"/>
    <x v="4"/>
    <n v="0.33333333333333331"/>
  </r>
  <r>
    <s v="CAND_0947"/>
    <x v="5"/>
    <x v="1"/>
    <x v="933"/>
    <s v="Experienced content creator with 5 years working with video editing, content writing, leadership"/>
    <x v="17"/>
    <n v="1"/>
    <x v="4"/>
    <n v="1"/>
  </r>
  <r>
    <s v="CAND_0948"/>
    <x v="3"/>
    <x v="1"/>
    <x v="934"/>
    <s v="Experienced backend developer with 8 years working with critical thinking, docker, c#"/>
    <x v="11"/>
    <n v="0"/>
    <x v="5"/>
    <n v="1"/>
  </r>
  <r>
    <s v="CAND_0949"/>
    <x v="5"/>
    <x v="3"/>
    <x v="935"/>
    <s v="Experienced frontend developer with 5 years working with react, vue, problem solving"/>
    <x v="6"/>
    <n v="1"/>
    <x v="2"/>
    <n v="0.625"/>
  </r>
  <r>
    <s v="CAND_0950"/>
    <x v="6"/>
    <x v="0"/>
    <x v="936"/>
    <s v="Experienced web developer with 3 years working with critical thinking, time management, react"/>
    <x v="13"/>
    <n v="0"/>
    <x v="0"/>
    <n v="0.5"/>
  </r>
  <r>
    <s v="CAND_0951"/>
    <x v="1"/>
    <x v="1"/>
    <x v="937"/>
    <s v="Experienced frontend developer with 9 years working with critical thinking, ui/ux, creativity"/>
    <x v="6"/>
    <n v="0"/>
    <x v="2"/>
    <n v="0.625"/>
  </r>
  <r>
    <s v="CAND_0952"/>
    <x v="12"/>
    <x v="2"/>
    <x v="938"/>
    <s v="Experienced data analyst with 6 years working with python, time management, excel"/>
    <x v="10"/>
    <n v="1"/>
    <x v="6"/>
    <n v="0.63636363636363635"/>
  </r>
  <r>
    <s v="CAND_0953"/>
    <x v="7"/>
    <x v="4"/>
    <x v="939"/>
    <s v="Experienced web developer with 4 years working with adaptability, typescript, problem solving"/>
    <x v="13"/>
    <n v="1"/>
    <x v="0"/>
    <n v="0.5"/>
  </r>
  <r>
    <s v="CAND_0954"/>
    <x v="4"/>
    <x v="1"/>
    <x v="940"/>
    <s v="Experienced devops engineer with 1 years working with critical thinking, kubernetes, time management"/>
    <x v="7"/>
    <n v="0"/>
    <x v="0"/>
    <n v="1"/>
  </r>
  <r>
    <s v="CAND_0955"/>
    <x v="0"/>
    <x v="4"/>
    <x v="941"/>
    <s v="Experienced data scientist with 2 years working with critical thinking, python, tensorflow"/>
    <x v="5"/>
    <n v="1"/>
    <x v="0"/>
    <n v="0.5"/>
  </r>
  <r>
    <s v="CAND_0956"/>
    <x v="10"/>
    <x v="2"/>
    <x v="942"/>
    <s v="Experienced digital marketer with 10 years working with digital marketing, critical thinking, communication"/>
    <x v="18"/>
    <n v="1"/>
    <x v="4"/>
    <n v="1"/>
  </r>
  <r>
    <s v="CAND_0957"/>
    <x v="6"/>
    <x v="4"/>
    <x v="943"/>
    <s v="Experienced ui ux designer with 3 years working with critical thinking, adobe creative suite, user research"/>
    <x v="15"/>
    <n v="0"/>
    <x v="5"/>
    <n v="1"/>
  </r>
  <r>
    <s v="CAND_0958"/>
    <x v="12"/>
    <x v="2"/>
    <x v="944"/>
    <s v="Experienced system administrator with 6 years working with adaptability, communication, bash"/>
    <x v="16"/>
    <n v="0"/>
    <x v="1"/>
    <n v="0.4"/>
  </r>
  <r>
    <s v="CAND_0959"/>
    <x v="3"/>
    <x v="3"/>
    <x v="945"/>
    <s v="Experienced backend developer with 8 years working with python, adaptability, azure"/>
    <x v="11"/>
    <n v="0"/>
    <x v="5"/>
    <n v="1"/>
  </r>
  <r>
    <s v="CAND_0960"/>
    <x v="0"/>
    <x v="1"/>
    <x v="946"/>
    <s v="Experienced data scientist with 2 years working with numpy, python, adaptability"/>
    <x v="5"/>
    <n v="1"/>
    <x v="0"/>
    <n v="0.5"/>
  </r>
  <r>
    <s v="CAND_0961"/>
    <x v="2"/>
    <x v="4"/>
    <x v="947"/>
    <s v="Experienced project manager with 0 years working with critical thinking, jira, communication"/>
    <x v="4"/>
    <n v="1"/>
    <x v="2"/>
    <n v="0.875"/>
  </r>
  <r>
    <s v="CAND_0962"/>
    <x v="8"/>
    <x v="4"/>
    <x v="948"/>
    <s v="Experienced product manager with 7 years working with communication, roadmap planning, creativity"/>
    <x v="14"/>
    <n v="1"/>
    <x v="0"/>
    <n v="0.25"/>
  </r>
  <r>
    <s v="CAND_0963"/>
    <x v="7"/>
    <x v="4"/>
    <x v="949"/>
    <s v="Experienced devops engineer with 4 years working with linux, docker, grafana"/>
    <x v="7"/>
    <n v="1"/>
    <x v="0"/>
    <n v="1"/>
  </r>
  <r>
    <s v="CAND_0964"/>
    <x v="4"/>
    <x v="0"/>
    <x v="950"/>
    <s v="Experienced mobile developer with 1 years working with kotlin, problem solving"/>
    <x v="19"/>
    <n v="0"/>
    <x v="4"/>
    <n v="0.33333333333333331"/>
  </r>
  <r>
    <s v="CAND_0965"/>
    <x v="10"/>
    <x v="4"/>
    <x v="951"/>
    <s v="Experienced content creator with 10 years working with graphic design, content writing, adaptability"/>
    <x v="17"/>
    <n v="1"/>
    <x v="4"/>
    <n v="1"/>
  </r>
  <r>
    <s v="CAND_0966"/>
    <x v="3"/>
    <x v="3"/>
    <x v="952"/>
    <s v="Experienced software developer with 8 years working with critical thinking, python, communication"/>
    <x v="3"/>
    <n v="1"/>
    <x v="3"/>
    <n v="0.7142857142857143"/>
  </r>
  <r>
    <s v="CAND_0967"/>
    <x v="6"/>
    <x v="1"/>
    <x v="953"/>
    <s v="Experienced product manager with 3 years working with communication, roadmap planning, time management"/>
    <x v="14"/>
    <n v="1"/>
    <x v="0"/>
    <n v="0.25"/>
  </r>
  <r>
    <s v="CAND_0968"/>
    <x v="10"/>
    <x v="1"/>
    <x v="954"/>
    <s v="Experienced business analyst with 10 years working with creativity, excel, tableau"/>
    <x v="2"/>
    <n v="1"/>
    <x v="2"/>
    <n v="0.5"/>
  </r>
  <r>
    <s v="CAND_0969"/>
    <x v="4"/>
    <x v="1"/>
    <x v="955"/>
    <s v="Experienced backend developer with 1 years working with critical thinking, adaptability, go"/>
    <x v="11"/>
    <n v="0"/>
    <x v="5"/>
    <n v="1"/>
  </r>
  <r>
    <s v="CAND_0970"/>
    <x v="8"/>
    <x v="1"/>
    <x v="956"/>
    <s v="Experienced content creator with 7 years working with content writing, adaptability, communication"/>
    <x v="17"/>
    <n v="1"/>
    <x v="4"/>
    <n v="1"/>
  </r>
  <r>
    <s v="CAND_0971"/>
    <x v="0"/>
    <x v="1"/>
    <x v="957"/>
    <s v="Experienced ui ux designer with 2 years working with ui/ux, communication, adobe creative suite"/>
    <x v="15"/>
    <n v="1"/>
    <x v="5"/>
    <n v="1"/>
  </r>
  <r>
    <s v="CAND_0972"/>
    <x v="2"/>
    <x v="0"/>
    <x v="958"/>
    <s v="Experienced product manager with 0 years working with communication, roadmap planning, creativity"/>
    <x v="14"/>
    <n v="0"/>
    <x v="0"/>
    <n v="0.25"/>
  </r>
  <r>
    <s v="CAND_0973"/>
    <x v="2"/>
    <x v="1"/>
    <x v="959"/>
    <s v="Experienced qa engineer with 0 years working with adaptability, communication, testing"/>
    <x v="20"/>
    <n v="1"/>
    <x v="4"/>
    <n v="0.66666666666666663"/>
  </r>
  <r>
    <s v="CAND_0974"/>
    <x v="10"/>
    <x v="4"/>
    <x v="960"/>
    <s v="Experienced project manager with 10 years working with risk management, communication, project management"/>
    <x v="4"/>
    <n v="1"/>
    <x v="2"/>
    <n v="0.875"/>
  </r>
  <r>
    <s v="CAND_0975"/>
    <x v="8"/>
    <x v="2"/>
    <x v="961"/>
    <s v="Experienced business analyst with 7 years working with critical thinking, creativity, excel"/>
    <x v="2"/>
    <n v="1"/>
    <x v="2"/>
    <n v="0.5"/>
  </r>
  <r>
    <s v="CAND_0976"/>
    <x v="4"/>
    <x v="4"/>
    <x v="962"/>
    <s v="Experienced ui ux designer with 1 years working with ui/ux, time management, creativity"/>
    <x v="15"/>
    <n v="1"/>
    <x v="5"/>
    <n v="1"/>
  </r>
  <r>
    <s v="CAND_0977"/>
    <x v="2"/>
    <x v="0"/>
    <x v="963"/>
    <s v="Experienced mobile developer with 0 years working with react native, communication, mobile"/>
    <x v="19"/>
    <n v="1"/>
    <x v="4"/>
    <n v="0.33333333333333331"/>
  </r>
  <r>
    <s v="CAND_0978"/>
    <x v="12"/>
    <x v="1"/>
    <x v="964"/>
    <s v="Experienced ui ux designer with 6 years working with critical thinking, sketch, communication"/>
    <x v="15"/>
    <n v="0"/>
    <x v="5"/>
    <n v="1"/>
  </r>
  <r>
    <s v="CAND_0979"/>
    <x v="8"/>
    <x v="2"/>
    <x v="965"/>
    <s v="Experienced software developer with 7 years working with creativity, testing, programming"/>
    <x v="3"/>
    <n v="1"/>
    <x v="3"/>
    <n v="0.7142857142857143"/>
  </r>
  <r>
    <s v="CAND_0980"/>
    <x v="6"/>
    <x v="3"/>
    <x v="966"/>
    <s v="Experienced project manager with 3 years working with critical thinking, jira, communication"/>
    <x v="4"/>
    <n v="1"/>
    <x v="2"/>
    <n v="0.875"/>
  </r>
  <r>
    <s v="CAND_0981"/>
    <x v="7"/>
    <x v="3"/>
    <x v="967"/>
    <s v="Experienced graphic designer with 4 years working with critical thinking, adaptability, adobe creative suite"/>
    <x v="8"/>
    <n v="1"/>
    <x v="4"/>
    <n v="0.66666666666666663"/>
  </r>
  <r>
    <s v="CAND_0982"/>
    <x v="8"/>
    <x v="1"/>
    <x v="968"/>
    <s v="Experienced devops engineer with 7 years working with critical thinking, linux, docker"/>
    <x v="7"/>
    <n v="1"/>
    <x v="0"/>
    <n v="1"/>
  </r>
  <r>
    <s v="CAND_0983"/>
    <x v="4"/>
    <x v="1"/>
    <x v="969"/>
    <s v="Experienced frontend developer with 1 years working with critical thinking, ui/ux, creativity"/>
    <x v="6"/>
    <n v="0"/>
    <x v="2"/>
    <n v="0.625"/>
  </r>
  <r>
    <s v="CAND_0984"/>
    <x v="2"/>
    <x v="0"/>
    <x v="970"/>
    <s v="Experienced software developer with 0 years working with critical thinking, programming"/>
    <x v="3"/>
    <n v="1"/>
    <x v="3"/>
    <n v="0.7142857142857143"/>
  </r>
  <r>
    <s v="CAND_0985"/>
    <x v="0"/>
    <x v="2"/>
    <x v="971"/>
    <s v="Experienced business analyst with 2 years working with critical thinking, creativity, business intelligence"/>
    <x v="2"/>
    <n v="0"/>
    <x v="2"/>
    <n v="0.5"/>
  </r>
  <r>
    <s v="CAND_0986"/>
    <x v="6"/>
    <x v="3"/>
    <x v="972"/>
    <s v="Experienced software developer with 3 years working with leadership, javascript, java"/>
    <x v="3"/>
    <n v="0"/>
    <x v="3"/>
    <n v="0.7142857142857143"/>
  </r>
  <r>
    <s v="CAND_0987"/>
    <x v="3"/>
    <x v="4"/>
    <x v="973"/>
    <s v="Experienced devops engineer with 8 years working with linux, kubernetes, docker"/>
    <x v="7"/>
    <n v="1"/>
    <x v="0"/>
    <n v="1"/>
  </r>
  <r>
    <s v="CAND_0988"/>
    <x v="1"/>
    <x v="0"/>
    <x v="974"/>
    <s v="Experienced devops engineer with 9 years working with linux, adaptability, communication"/>
    <x v="7"/>
    <n v="1"/>
    <x v="0"/>
    <n v="1"/>
  </r>
  <r>
    <s v="CAND_0989"/>
    <x v="6"/>
    <x v="4"/>
    <x v="975"/>
    <s v="Experienced product manager with 3 years working with leadership, product management, communication"/>
    <x v="14"/>
    <n v="1"/>
    <x v="0"/>
    <n v="0.25"/>
  </r>
  <r>
    <s v="CAND_0990"/>
    <x v="11"/>
    <x v="0"/>
    <x v="976"/>
    <s v="Experienced devops engineer with 11 years working with adaptability, azure, ansible"/>
    <x v="7"/>
    <n v="0"/>
    <x v="0"/>
    <n v="1"/>
  </r>
  <r>
    <s v="CAND_0991"/>
    <x v="5"/>
    <x v="3"/>
    <x v="977"/>
    <s v="Experienced frontend developer with 5 years working with ui/ux, adaptability, communication"/>
    <x v="6"/>
    <n v="1"/>
    <x v="2"/>
    <n v="0.625"/>
  </r>
  <r>
    <s v="CAND_0992"/>
    <x v="1"/>
    <x v="1"/>
    <x v="978"/>
    <s v="Experienced data scientist with 9 years working with critical thinking, python, pandas"/>
    <x v="5"/>
    <n v="1"/>
    <x v="0"/>
    <n v="0.5"/>
  </r>
  <r>
    <s v="CAND_0993"/>
    <x v="3"/>
    <x v="1"/>
    <x v="979"/>
    <s v="Experienced devops engineer with 8 years working with adaptability, linux, docker"/>
    <x v="7"/>
    <n v="1"/>
    <x v="0"/>
    <n v="1"/>
  </r>
  <r>
    <s v="CAND_0994"/>
    <x v="4"/>
    <x v="2"/>
    <x v="980"/>
    <s v="Experienced graphic designer with 1 years working with adaptability, indesign, communication"/>
    <x v="8"/>
    <n v="1"/>
    <x v="4"/>
    <n v="0.66666666666666663"/>
  </r>
  <r>
    <s v="CAND_0995"/>
    <x v="6"/>
    <x v="1"/>
    <x v="981"/>
    <s v="Experienced backend developer with 3 years working with api, docker, creativity"/>
    <x v="11"/>
    <n v="1"/>
    <x v="5"/>
    <n v="1"/>
  </r>
  <r>
    <s v="CAND_0996"/>
    <x v="4"/>
    <x v="3"/>
    <x v="982"/>
    <s v="Experienced graphic designer with 1 years working with adobe creative suite, design, critical thinking"/>
    <x v="8"/>
    <n v="1"/>
    <x v="4"/>
    <n v="0.66666666666666663"/>
  </r>
  <r>
    <s v="CAND_0997"/>
    <x v="5"/>
    <x v="0"/>
    <x v="983"/>
    <s v="Experienced qa engineer with 5 years working with time management, quality assurance, testing"/>
    <x v="20"/>
    <n v="1"/>
    <x v="4"/>
    <n v="0.66666666666666663"/>
  </r>
  <r>
    <s v="CAND_0998"/>
    <x v="10"/>
    <x v="0"/>
    <x v="984"/>
    <s v="Experienced web developer with 10 years working with critical thinking, time management, creativity"/>
    <x v="13"/>
    <n v="0"/>
    <x v="0"/>
    <n v="0.5"/>
  </r>
  <r>
    <s v="CAND_0999"/>
    <x v="10"/>
    <x v="1"/>
    <x v="985"/>
    <s v="Experienced devops engineer with 10 years working with linux, adaptability, kubernetes"/>
    <x v="7"/>
    <n v="1"/>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345098-A781-F34F-B21C-AF40E651435E}" name="PivotTable34"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9:E34" firstHeaderRow="0" firstDataRow="1" firstDataCol="1"/>
  <pivotFields count="9">
    <pivotField showAll="0"/>
    <pivotField dataField="1" showAll="0">
      <items count="14">
        <item h="1" x="2"/>
        <item h="1" x="4"/>
        <item h="1" x="0"/>
        <item h="1" x="6"/>
        <item h="1" x="7"/>
        <item h="1" x="5"/>
        <item h="1" x="12"/>
        <item h="1" x="8"/>
        <item h="1" x="3"/>
        <item h="1" x="1"/>
        <item h="1" x="10"/>
        <item h="1" x="11"/>
        <item x="9"/>
        <item t="default"/>
      </items>
    </pivotField>
    <pivotField axis="axisRow" showAll="0">
      <items count="6">
        <item x="4"/>
        <item x="0"/>
        <item x="3"/>
        <item x="2"/>
        <item x="1"/>
        <item t="default"/>
      </items>
    </pivotField>
    <pivotField showAll="0"/>
    <pivotField showAll="0"/>
    <pivotField showAll="0" defaultSubtotal="0">
      <items count="21">
        <item x="12"/>
        <item x="11"/>
        <item x="2"/>
        <item x="17"/>
        <item x="10"/>
        <item x="5"/>
        <item x="1"/>
        <item x="9"/>
        <item x="7"/>
        <item x="18"/>
        <item x="6"/>
        <item x="0"/>
        <item x="8"/>
        <item x="19"/>
        <item x="14"/>
        <item x="4"/>
        <item x="20"/>
        <item x="3"/>
        <item x="16"/>
        <item x="15"/>
        <item x="13"/>
      </items>
    </pivotField>
    <pivotField dataField="1" showAll="0"/>
    <pivotField dataField="1" showAll="0">
      <items count="9">
        <item x="5"/>
        <item x="4"/>
        <item x="0"/>
        <item x="1"/>
        <item x="7"/>
        <item x="3"/>
        <item x="2"/>
        <item x="6"/>
        <item t="default"/>
      </items>
    </pivotField>
    <pivotField dataField="1" numFmtId="9" showAll="0"/>
  </pivotFields>
  <rowFields count="1">
    <field x="2"/>
  </rowFields>
  <rowItems count="5">
    <i>
      <x/>
    </i>
    <i>
      <x v="1"/>
    </i>
    <i>
      <x v="2"/>
    </i>
    <i>
      <x v="3"/>
    </i>
    <i t="grand">
      <x/>
    </i>
  </rowItems>
  <colFields count="1">
    <field x="-2"/>
  </colFields>
  <colItems count="4">
    <i>
      <x/>
    </i>
    <i i="1">
      <x v="1"/>
    </i>
    <i i="2">
      <x v="2"/>
    </i>
    <i i="3">
      <x v="3"/>
    </i>
  </colItems>
  <dataFields count="4">
    <dataField name="Average of years_experience" fld="1" subtotal="average" baseField="0" baseItem="0"/>
    <dataField name="Average of suitable_rate" fld="8" subtotal="average" baseField="0" baseItem="0" numFmtId="9"/>
    <dataField name="Sum of suitable" fld="6" baseField="0" baseItem="0"/>
    <dataField name="Sum of candidate_count" fld="7" baseField="0" baseItem="0"/>
  </dataFields>
  <chartFormats count="8">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 chart="8" format="3" series="1">
      <pivotArea type="data" outline="0" fieldPosition="0">
        <references count="1">
          <reference field="4294967294" count="1" selected="0">
            <x v="3"/>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2"/>
          </reference>
        </references>
      </pivotArea>
    </chartFormat>
    <chartFormat chart="10"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04EC55-784B-4D4D-BEEF-156FD7E8DCBD}" name="PivotTable31"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7:Q33" firstHeaderRow="1" firstDataRow="3" firstDataCol="1"/>
  <pivotFields count="9">
    <pivotField showAll="0"/>
    <pivotField showAll="0">
      <items count="14">
        <item h="1" x="2"/>
        <item h="1" x="4"/>
        <item h="1" x="0"/>
        <item h="1" x="6"/>
        <item h="1" x="7"/>
        <item h="1" x="5"/>
        <item h="1" x="12"/>
        <item h="1" x="8"/>
        <item h="1" x="3"/>
        <item h="1" x="1"/>
        <item h="1" x="10"/>
        <item h="1" x="11"/>
        <item x="9"/>
        <item t="default"/>
      </items>
    </pivotField>
    <pivotField axis="axisCol" showAll="0">
      <items count="6">
        <item x="4"/>
        <item x="0"/>
        <item x="3"/>
        <item x="2"/>
        <item x="1"/>
        <item t="default"/>
      </items>
    </pivotField>
    <pivotField showAll="0"/>
    <pivotField showAll="0"/>
    <pivotField axis="axisRow" showAll="0" defaultSubtotal="0">
      <items count="21">
        <item x="12"/>
        <item x="11"/>
        <item x="2"/>
        <item x="17"/>
        <item x="10"/>
        <item x="5"/>
        <item x="1"/>
        <item x="9"/>
        <item x="7"/>
        <item x="18"/>
        <item x="6"/>
        <item x="0"/>
        <item x="8"/>
        <item x="19"/>
        <item x="14"/>
        <item x="4"/>
        <item x="20"/>
        <item x="3"/>
        <item x="16"/>
        <item x="15"/>
        <item x="13"/>
      </items>
    </pivotField>
    <pivotField showAll="0"/>
    <pivotField dataField="1" showAll="0">
      <items count="9">
        <item x="5"/>
        <item x="4"/>
        <item x="0"/>
        <item x="1"/>
        <item x="7"/>
        <item x="3"/>
        <item x="2"/>
        <item x="6"/>
        <item t="default"/>
      </items>
    </pivotField>
    <pivotField dataField="1" numFmtId="9" showAll="0"/>
  </pivotFields>
  <rowFields count="1">
    <field x="5"/>
  </rowFields>
  <rowItems count="4">
    <i>
      <x v="8"/>
    </i>
    <i>
      <x v="11"/>
    </i>
    <i>
      <x v="14"/>
    </i>
    <i t="grand">
      <x/>
    </i>
  </rowItems>
  <colFields count="2">
    <field x="2"/>
    <field x="-2"/>
  </colFields>
  <colItems count="10">
    <i>
      <x/>
      <x/>
    </i>
    <i r="1" i="1">
      <x v="1"/>
    </i>
    <i>
      <x v="1"/>
      <x/>
    </i>
    <i r="1" i="1">
      <x v="1"/>
    </i>
    <i>
      <x v="2"/>
      <x/>
    </i>
    <i r="1" i="1">
      <x v="1"/>
    </i>
    <i>
      <x v="3"/>
      <x/>
    </i>
    <i r="1" i="1">
      <x v="1"/>
    </i>
    <i t="grand">
      <x/>
    </i>
    <i t="grand" i="1">
      <x/>
    </i>
  </colItems>
  <dataFields count="2">
    <dataField name="Average of suitable_rate" fld="8" subtotal="average" baseField="0" baseItem="0" numFmtId="9"/>
    <dataField name="Sum of candidate_count" fld="7" baseField="0" baseItem="0"/>
  </dataFields>
  <chartFormats count="20">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1"/>
          </reference>
          <reference field="2" count="1" selected="0">
            <x v="0"/>
          </reference>
        </references>
      </pivotArea>
    </chartFormat>
    <chartFormat chart="7" format="2" series="1">
      <pivotArea type="data" outline="0" fieldPosition="0">
        <references count="2">
          <reference field="4294967294" count="1" selected="0">
            <x v="0"/>
          </reference>
          <reference field="2" count="1" selected="0">
            <x v="1"/>
          </reference>
        </references>
      </pivotArea>
    </chartFormat>
    <chartFormat chart="7" format="3" series="1">
      <pivotArea type="data" outline="0" fieldPosition="0">
        <references count="2">
          <reference field="4294967294" count="1" selected="0">
            <x v="1"/>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2"/>
          </reference>
        </references>
      </pivotArea>
    </chartFormat>
    <chartFormat chart="7" format="5" series="1">
      <pivotArea type="data" outline="0" fieldPosition="0">
        <references count="2">
          <reference field="4294967294" count="1" selected="0">
            <x v="1"/>
          </reference>
          <reference field="2" count="1" selected="0">
            <x v="2"/>
          </reference>
        </references>
      </pivotArea>
    </chartFormat>
    <chartFormat chart="7" format="6" series="1">
      <pivotArea type="data" outline="0" fieldPosition="0">
        <references count="2">
          <reference field="4294967294" count="1" selected="0">
            <x v="0"/>
          </reference>
          <reference field="2" count="1" selected="0">
            <x v="3"/>
          </reference>
        </references>
      </pivotArea>
    </chartFormat>
    <chartFormat chart="7" format="7" series="1">
      <pivotArea type="data" outline="0" fieldPosition="0">
        <references count="2">
          <reference field="4294967294" count="1" selected="0">
            <x v="1"/>
          </reference>
          <reference field="2" count="1" selected="0">
            <x v="3"/>
          </reference>
        </references>
      </pivotArea>
    </chartFormat>
    <chartFormat chart="7" format="8" series="1">
      <pivotArea type="data" outline="0" fieldPosition="0">
        <references count="2">
          <reference field="4294967294" count="1" selected="0">
            <x v="0"/>
          </reference>
          <reference field="2" count="1" selected="0">
            <x v="4"/>
          </reference>
        </references>
      </pivotArea>
    </chartFormat>
    <chartFormat chart="7" format="9" series="1">
      <pivotArea type="data" outline="0" fieldPosition="0">
        <references count="2">
          <reference field="4294967294" count="1" selected="0">
            <x v="1"/>
          </reference>
          <reference field="2" count="1" selected="0">
            <x v="4"/>
          </reference>
        </references>
      </pivotArea>
    </chartFormat>
    <chartFormat chart="9" format="20" series="1">
      <pivotArea type="data" outline="0" fieldPosition="0">
        <references count="2">
          <reference field="4294967294" count="1" selected="0">
            <x v="0"/>
          </reference>
          <reference field="2" count="1" selected="0">
            <x v="0"/>
          </reference>
        </references>
      </pivotArea>
    </chartFormat>
    <chartFormat chart="9" format="21" series="1">
      <pivotArea type="data" outline="0" fieldPosition="0">
        <references count="2">
          <reference field="4294967294" count="1" selected="0">
            <x v="1"/>
          </reference>
          <reference field="2" count="1" selected="0">
            <x v="0"/>
          </reference>
        </references>
      </pivotArea>
    </chartFormat>
    <chartFormat chart="9" format="22" series="1">
      <pivotArea type="data" outline="0" fieldPosition="0">
        <references count="2">
          <reference field="4294967294" count="1" selected="0">
            <x v="0"/>
          </reference>
          <reference field="2" count="1" selected="0">
            <x v="1"/>
          </reference>
        </references>
      </pivotArea>
    </chartFormat>
    <chartFormat chart="9" format="23" series="1">
      <pivotArea type="data" outline="0" fieldPosition="0">
        <references count="2">
          <reference field="4294967294" count="1" selected="0">
            <x v="1"/>
          </reference>
          <reference field="2" count="1" selected="0">
            <x v="1"/>
          </reference>
        </references>
      </pivotArea>
    </chartFormat>
    <chartFormat chart="9" format="24" series="1">
      <pivotArea type="data" outline="0" fieldPosition="0">
        <references count="2">
          <reference field="4294967294" count="1" selected="0">
            <x v="0"/>
          </reference>
          <reference field="2" count="1" selected="0">
            <x v="2"/>
          </reference>
        </references>
      </pivotArea>
    </chartFormat>
    <chartFormat chart="9" format="25" series="1">
      <pivotArea type="data" outline="0" fieldPosition="0">
        <references count="2">
          <reference field="4294967294" count="1" selected="0">
            <x v="1"/>
          </reference>
          <reference field="2" count="1" selected="0">
            <x v="2"/>
          </reference>
        </references>
      </pivotArea>
    </chartFormat>
    <chartFormat chart="9" format="26" series="1">
      <pivotArea type="data" outline="0" fieldPosition="0">
        <references count="2">
          <reference field="4294967294" count="1" selected="0">
            <x v="0"/>
          </reference>
          <reference field="2" count="1" selected="0">
            <x v="3"/>
          </reference>
        </references>
      </pivotArea>
    </chartFormat>
    <chartFormat chart="9" format="27" series="1">
      <pivotArea type="data" outline="0" fieldPosition="0">
        <references count="2">
          <reference field="4294967294" count="1" selected="0">
            <x v="1"/>
          </reference>
          <reference field="2" count="1" selected="0">
            <x v="3"/>
          </reference>
        </references>
      </pivotArea>
    </chartFormat>
    <chartFormat chart="9" format="28" series="1">
      <pivotArea type="data" outline="0" fieldPosition="0">
        <references count="2">
          <reference field="4294967294" count="1" selected="0">
            <x v="0"/>
          </reference>
          <reference field="2" count="1" selected="0">
            <x v="4"/>
          </reference>
        </references>
      </pivotArea>
    </chartFormat>
    <chartFormat chart="9" format="29" series="1">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106CB4-7945-B347-B01B-EE3F89E53FF1}" name="PivotTable20"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E7" firstHeaderRow="0" firstDataRow="1" firstDataCol="1"/>
  <pivotFields count="9">
    <pivotField showAll="0"/>
    <pivotField dataField="1" showAll="0">
      <items count="14">
        <item h="1" x="2"/>
        <item h="1" x="4"/>
        <item h="1" x="0"/>
        <item h="1" x="6"/>
        <item h="1" x="7"/>
        <item h="1" x="5"/>
        <item h="1" x="12"/>
        <item h="1" x="8"/>
        <item h="1" x="3"/>
        <item h="1" x="1"/>
        <item h="1" x="10"/>
        <item h="1" x="11"/>
        <item x="9"/>
        <item t="default"/>
      </items>
    </pivotField>
    <pivotField showAll="0">
      <items count="6">
        <item x="4"/>
        <item x="0"/>
        <item x="3"/>
        <item x="2"/>
        <item x="1"/>
        <item t="default"/>
      </items>
    </pivotField>
    <pivotField showAll="0"/>
    <pivotField showAll="0"/>
    <pivotField axis="axisRow" showAll="0" defaultSubtotal="0">
      <items count="21">
        <item x="12"/>
        <item x="11"/>
        <item x="2"/>
        <item x="17"/>
        <item x="10"/>
        <item x="5"/>
        <item x="1"/>
        <item x="9"/>
        <item x="7"/>
        <item x="18"/>
        <item x="6"/>
        <item x="0"/>
        <item x="8"/>
        <item x="19"/>
        <item x="14"/>
        <item x="4"/>
        <item x="20"/>
        <item x="3"/>
        <item x="16"/>
        <item x="15"/>
        <item x="13"/>
      </items>
    </pivotField>
    <pivotField dataField="1" showAll="0"/>
    <pivotField dataField="1" showAll="0">
      <items count="9">
        <item x="5"/>
        <item x="4"/>
        <item x="0"/>
        <item x="1"/>
        <item x="7"/>
        <item x="3"/>
        <item x="2"/>
        <item x="6"/>
        <item t="default"/>
      </items>
    </pivotField>
    <pivotField dataField="1" numFmtId="9" showAll="0"/>
  </pivotFields>
  <rowFields count="1">
    <field x="5"/>
  </rowFields>
  <rowItems count="4">
    <i>
      <x v="8"/>
    </i>
    <i>
      <x v="11"/>
    </i>
    <i>
      <x v="14"/>
    </i>
    <i t="grand">
      <x/>
    </i>
  </rowItems>
  <colFields count="1">
    <field x="-2"/>
  </colFields>
  <colItems count="4">
    <i>
      <x/>
    </i>
    <i i="1">
      <x v="1"/>
    </i>
    <i i="2">
      <x v="2"/>
    </i>
    <i i="3">
      <x v="3"/>
    </i>
  </colItems>
  <dataFields count="4">
    <dataField name="Sum of candidate_count" fld="7" baseField="0" baseItem="0"/>
    <dataField name="Sum of suitable" fld="6" baseField="0" baseItem="0"/>
    <dataField name="Average of suitable_rate" fld="8" subtotal="average" baseField="0" baseItem="0" numFmtId="9"/>
    <dataField name="Average of years_experience" fld="1" subtotal="average" baseField="0" baseItem="0"/>
  </dataFields>
  <chartFormats count="8">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2"/>
          </reference>
        </references>
      </pivotArea>
    </chartFormat>
    <chartFormat chart="5"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7A4C14-688A-FD4A-9120-805F8DF080A6}" name="PivotTable3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5" firstHeaderRow="0" firstDataRow="1" firstDataCol="1"/>
  <pivotFields count="9">
    <pivotField showAll="0"/>
    <pivotField axis="axisRow" showAll="0">
      <items count="14">
        <item h="1" x="2"/>
        <item h="1" x="4"/>
        <item h="1" x="0"/>
        <item h="1" x="6"/>
        <item h="1" x="7"/>
        <item h="1" x="5"/>
        <item h="1" x="12"/>
        <item h="1" x="8"/>
        <item h="1" x="3"/>
        <item h="1" x="1"/>
        <item h="1" x="10"/>
        <item h="1" x="11"/>
        <item x="9"/>
        <item t="default"/>
      </items>
    </pivotField>
    <pivotField showAll="0"/>
    <pivotField showAll="0"/>
    <pivotField showAll="0"/>
    <pivotField showAll="0"/>
    <pivotField showAll="0"/>
    <pivotField dataField="1" showAll="0"/>
    <pivotField dataField="1" numFmtId="9" showAll="0"/>
  </pivotFields>
  <rowFields count="1">
    <field x="1"/>
  </rowFields>
  <rowItems count="2">
    <i>
      <x v="12"/>
    </i>
    <i t="grand">
      <x/>
    </i>
  </rowItems>
  <colFields count="1">
    <field x="-2"/>
  </colFields>
  <colItems count="2">
    <i>
      <x/>
    </i>
    <i i="1">
      <x v="1"/>
    </i>
  </colItems>
  <dataFields count="2">
    <dataField name="Sum of candidate_count" fld="7" baseField="0" baseItem="0"/>
    <dataField name="Average of suitable_rate" fld="8" subtotal="average" baseField="0" baseItem="0" numFmtId="9"/>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experience" xr10:uid="{44B715B1-959A-BA47-8399-CA3098D51AEE}" sourceName="years_experience">
  <pivotTables>
    <pivotTable tabId="6" name="PivotTable20"/>
    <pivotTable tabId="6" name="PivotTable31"/>
    <pivotTable tabId="6" name="PivotTable34"/>
    <pivotTable tabId="7" name="PivotTable32"/>
  </pivotTables>
  <data>
    <tabular pivotCacheId="950805660">
      <items count="13">
        <i x="2"/>
        <i x="4"/>
        <i x="0"/>
        <i x="6"/>
        <i x="7"/>
        <i x="5"/>
        <i x="12"/>
        <i x="8"/>
        <i x="3"/>
        <i x="1"/>
        <i x="10"/>
        <i x="1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_experience" xr10:uid="{66567789-BA30-1242-AEF6-36417CE7D82A}" cache="Slicer_years_experience" caption="years_experienc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69F96D-49F4-2347-8825-8C2F48160DB2}" name="Table2" displayName="Table2" ref="A1:I1000" totalsRowShown="0">
  <autoFilter ref="A1:I1000" xr:uid="{4C69F96D-49F4-2347-8825-8C2F48160DB2}"/>
  <tableColumns count="9">
    <tableColumn id="1" xr3:uid="{9F00FA9C-C3F8-424B-9824-A6D437963E45}" name="candidate_id"/>
    <tableColumn id="2" xr3:uid="{DB134F91-33B5-C640-BCFA-2CA98B22159A}" name="years_experience"/>
    <tableColumn id="3" xr3:uid="{16034CD2-C043-3240-AEDC-8BD52BCAB0AA}" name="education_level"/>
    <tableColumn id="4" xr3:uid="{BD721414-688A-0541-AECE-EA3E8CED685A}" name="skills"/>
    <tableColumn id="5" xr3:uid="{8A7626CD-3567-DE45-A89A-2FF1B25CCC2B}" name="experience_description"/>
    <tableColumn id="6" xr3:uid="{C0B5D4D7-9451-DD43-88B9-015F5291FE7B}" name="position_applied"/>
    <tableColumn id="7" xr3:uid="{E92F7864-1618-FE4A-826D-23D146AEB03B}" name="suitable"/>
    <tableColumn id="8" xr3:uid="{8C984ADC-FE61-6748-951A-6AA7D8E64FE0}" name="candidate_count" dataDxfId="1">
      <calculatedColumnFormula>COUNTIF($F$2:$F$100, F2)</calculatedColumnFormula>
    </tableColumn>
    <tableColumn id="9" xr3:uid="{9D7B3897-2D02-8A4E-8FB6-52A7D682FC84}" name="suitable_rate" dataDxfId="0">
      <calculatedColumnFormula>SUMIFS($G$2:$G$100, $F$2:$F$100, F2) / COUNTIF($F$2:$F$100, F2)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15289-FB0D-D443-91F4-27F138852574}">
  <dimension ref="F1:T3"/>
  <sheetViews>
    <sheetView tabSelected="1" topLeftCell="A2" zoomScale="66" workbookViewId="0">
      <selection activeCell="AC12" sqref="AC12"/>
    </sheetView>
  </sheetViews>
  <sheetFormatPr baseColWidth="10" defaultRowHeight="16" x14ac:dyDescent="0.2"/>
  <sheetData>
    <row r="1" spans="6:20" x14ac:dyDescent="0.2">
      <c r="F1" s="3" t="s">
        <v>3005</v>
      </c>
      <c r="G1" s="4"/>
      <c r="H1" s="4"/>
      <c r="I1" s="4"/>
      <c r="J1" s="4"/>
      <c r="K1" s="4"/>
      <c r="L1" s="4"/>
      <c r="M1" s="4"/>
      <c r="N1" s="4"/>
      <c r="O1" s="4"/>
      <c r="P1" s="4"/>
      <c r="Q1" s="4"/>
      <c r="R1" s="4"/>
      <c r="S1" s="4"/>
      <c r="T1" s="4"/>
    </row>
    <row r="2" spans="6:20" x14ac:dyDescent="0.2">
      <c r="F2" s="4"/>
      <c r="G2" s="4"/>
      <c r="H2" s="4"/>
      <c r="I2" s="4"/>
      <c r="J2" s="4"/>
      <c r="K2" s="4"/>
      <c r="L2" s="4"/>
      <c r="M2" s="4"/>
      <c r="N2" s="4"/>
      <c r="O2" s="4"/>
      <c r="P2" s="4"/>
      <c r="Q2" s="4"/>
      <c r="R2" s="4"/>
      <c r="S2" s="4"/>
      <c r="T2" s="4"/>
    </row>
    <row r="3" spans="6:20" x14ac:dyDescent="0.2">
      <c r="F3" s="4"/>
      <c r="G3" s="4"/>
      <c r="H3" s="4"/>
      <c r="I3" s="4"/>
      <c r="J3" s="4"/>
      <c r="K3" s="4"/>
      <c r="L3" s="4"/>
      <c r="M3" s="4"/>
      <c r="N3" s="4"/>
      <c r="O3" s="4"/>
      <c r="P3" s="4"/>
      <c r="Q3" s="4"/>
      <c r="R3" s="4"/>
      <c r="S3" s="4"/>
      <c r="T3" s="4"/>
    </row>
  </sheetData>
  <mergeCells count="1">
    <mergeCell ref="F1:T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8BD7E-825E-6A4B-BD02-CA1BB67347EC}">
  <dimension ref="A3:Q34"/>
  <sheetViews>
    <sheetView topLeftCell="A28" zoomScale="75" zoomScaleNormal="125" workbookViewId="0">
      <selection activeCell="G55" sqref="G55"/>
    </sheetView>
  </sheetViews>
  <sheetFormatPr baseColWidth="10" defaultRowHeight="16" x14ac:dyDescent="0.2"/>
  <cols>
    <col min="1" max="1" width="14.1640625" bestFit="1" customWidth="1"/>
    <col min="2" max="2" width="26.1640625" bestFit="1" customWidth="1"/>
    <col min="3" max="3" width="22" bestFit="1" customWidth="1"/>
    <col min="4" max="4" width="14.6640625" bestFit="1" customWidth="1"/>
    <col min="5" max="5" width="22.1640625" bestFit="1" customWidth="1"/>
    <col min="6" max="6" width="18.1640625" bestFit="1" customWidth="1"/>
    <col min="7" max="7" width="17.33203125" bestFit="1" customWidth="1"/>
    <col min="8" max="8" width="22" bestFit="1" customWidth="1"/>
    <col min="9" max="9" width="22.1640625" bestFit="1" customWidth="1"/>
    <col min="10" max="10" width="22" bestFit="1" customWidth="1"/>
    <col min="11" max="11" width="22.1640625" bestFit="1" customWidth="1"/>
    <col min="12" max="12" width="22" bestFit="1" customWidth="1"/>
    <col min="13" max="13" width="22.1640625" bestFit="1" customWidth="1"/>
    <col min="14" max="14" width="22" bestFit="1" customWidth="1"/>
    <col min="15" max="15" width="22.1640625" bestFit="1" customWidth="1"/>
    <col min="16" max="16" width="26.6640625" bestFit="1" customWidth="1"/>
    <col min="17" max="17" width="26.83203125" bestFit="1" customWidth="1"/>
    <col min="18" max="18" width="26.6640625" bestFit="1" customWidth="1"/>
    <col min="19" max="19" width="26.83203125" bestFit="1" customWidth="1"/>
    <col min="20" max="20" width="51.83203125" bestFit="1" customWidth="1"/>
    <col min="21" max="21" width="69" bestFit="1" customWidth="1"/>
    <col min="22" max="22" width="62.5" bestFit="1" customWidth="1"/>
    <col min="23" max="23" width="67" bestFit="1" customWidth="1"/>
    <col min="24" max="24" width="56.6640625" bestFit="1" customWidth="1"/>
    <col min="25" max="25" width="45.5" bestFit="1" customWidth="1"/>
    <col min="26" max="26" width="59.83203125" bestFit="1" customWidth="1"/>
    <col min="27" max="27" width="71.33203125" bestFit="1" customWidth="1"/>
    <col min="28" max="28" width="81" bestFit="1" customWidth="1"/>
    <col min="29" max="29" width="62.1640625" bestFit="1" customWidth="1"/>
    <col min="30" max="30" width="69.1640625" bestFit="1" customWidth="1"/>
    <col min="31" max="31" width="92.1640625" bestFit="1" customWidth="1"/>
    <col min="32" max="32" width="43.33203125" bestFit="1" customWidth="1"/>
    <col min="33" max="33" width="52.6640625" bestFit="1" customWidth="1"/>
    <col min="34" max="34" width="81.5" bestFit="1" customWidth="1"/>
    <col min="35" max="35" width="87.1640625" bestFit="1" customWidth="1"/>
    <col min="36" max="36" width="91.33203125" bestFit="1" customWidth="1"/>
    <col min="37" max="37" width="91.1640625" bestFit="1" customWidth="1"/>
    <col min="38" max="38" width="86.6640625" bestFit="1" customWidth="1"/>
    <col min="39" max="39" width="79" bestFit="1" customWidth="1"/>
    <col min="40" max="40" width="63.33203125" bestFit="1" customWidth="1"/>
    <col min="41" max="41" width="62.5" bestFit="1" customWidth="1"/>
    <col min="42" max="42" width="69.83203125" bestFit="1" customWidth="1"/>
    <col min="43" max="43" width="19.5" bestFit="1" customWidth="1"/>
    <col min="44" max="44" width="35.6640625" bestFit="1" customWidth="1"/>
    <col min="45" max="45" width="51.83203125" bestFit="1" customWidth="1"/>
    <col min="46" max="46" width="57.83203125" bestFit="1" customWidth="1"/>
    <col min="47" max="47" width="43" bestFit="1" customWidth="1"/>
    <col min="48" max="48" width="61.83203125" bestFit="1" customWidth="1"/>
    <col min="49" max="49" width="47.83203125" bestFit="1" customWidth="1"/>
    <col min="50" max="50" width="32" bestFit="1" customWidth="1"/>
    <col min="51" max="51" width="63.5" bestFit="1" customWidth="1"/>
    <col min="52" max="52" width="48.5" bestFit="1" customWidth="1"/>
    <col min="53" max="53" width="74" bestFit="1" customWidth="1"/>
    <col min="54" max="54" width="26.6640625" bestFit="1" customWidth="1"/>
    <col min="55" max="55" width="44" bestFit="1" customWidth="1"/>
    <col min="56" max="56" width="44.33203125" bestFit="1" customWidth="1"/>
    <col min="57" max="57" width="34.5" bestFit="1" customWidth="1"/>
    <col min="58" max="58" width="49.1640625" bestFit="1" customWidth="1"/>
    <col min="59" max="59" width="28" bestFit="1" customWidth="1"/>
    <col min="60" max="60" width="76.83203125" bestFit="1" customWidth="1"/>
    <col min="61" max="61" width="83" bestFit="1" customWidth="1"/>
    <col min="62" max="62" width="15.1640625" bestFit="1" customWidth="1"/>
    <col min="63" max="63" width="39" bestFit="1" customWidth="1"/>
    <col min="64" max="64" width="51" bestFit="1" customWidth="1"/>
    <col min="65" max="65" width="34.83203125" bestFit="1" customWidth="1"/>
    <col min="66" max="66" width="55.6640625" bestFit="1" customWidth="1"/>
    <col min="67" max="67" width="45.33203125" bestFit="1" customWidth="1"/>
    <col min="68" max="68" width="68.33203125" bestFit="1" customWidth="1"/>
    <col min="69" max="69" width="84.33203125" bestFit="1" customWidth="1"/>
    <col min="70" max="70" width="63.33203125" bestFit="1" customWidth="1"/>
    <col min="71" max="71" width="62.33203125" bestFit="1" customWidth="1"/>
    <col min="72" max="72" width="61.33203125" bestFit="1" customWidth="1"/>
    <col min="73" max="73" width="48.1640625" bestFit="1" customWidth="1"/>
    <col min="74" max="74" width="47.33203125" bestFit="1" customWidth="1"/>
    <col min="75" max="75" width="46.5" bestFit="1" customWidth="1"/>
    <col min="76" max="76" width="46" bestFit="1" customWidth="1"/>
    <col min="77" max="77" width="61.1640625" bestFit="1" customWidth="1"/>
    <col min="78" max="78" width="44.1640625" bestFit="1" customWidth="1"/>
    <col min="79" max="79" width="49" bestFit="1" customWidth="1"/>
    <col min="80" max="80" width="49.83203125" bestFit="1" customWidth="1"/>
    <col min="81" max="81" width="73.5" bestFit="1" customWidth="1"/>
    <col min="82" max="82" width="81.33203125" bestFit="1" customWidth="1"/>
    <col min="83" max="83" width="51" bestFit="1" customWidth="1"/>
    <col min="84" max="84" width="32" bestFit="1" customWidth="1"/>
    <col min="85" max="85" width="48.83203125" bestFit="1" customWidth="1"/>
    <col min="86" max="86" width="70.33203125" bestFit="1" customWidth="1"/>
    <col min="87" max="87" width="68.83203125" bestFit="1" customWidth="1"/>
    <col min="88" max="88" width="82.6640625" bestFit="1" customWidth="1"/>
    <col min="89" max="89" width="40.33203125" bestFit="1" customWidth="1"/>
    <col min="90" max="90" width="16" bestFit="1" customWidth="1"/>
    <col min="91" max="91" width="43.5" bestFit="1" customWidth="1"/>
    <col min="92" max="92" width="24.83203125" bestFit="1" customWidth="1"/>
    <col min="93" max="93" width="45.6640625" bestFit="1" customWidth="1"/>
    <col min="94" max="94" width="45.1640625" bestFit="1" customWidth="1"/>
    <col min="95" max="95" width="43.83203125" bestFit="1" customWidth="1"/>
    <col min="96" max="96" width="70.83203125" bestFit="1" customWidth="1"/>
    <col min="97" max="97" width="69.1640625" bestFit="1" customWidth="1"/>
    <col min="98" max="98" width="58.6640625" bestFit="1" customWidth="1"/>
    <col min="99" max="99" width="62.33203125" bestFit="1" customWidth="1"/>
    <col min="100" max="100" width="35.83203125" bestFit="1" customWidth="1"/>
    <col min="101" max="101" width="45.33203125" bestFit="1" customWidth="1"/>
    <col min="102" max="102" width="42.33203125" bestFit="1" customWidth="1"/>
    <col min="103" max="103" width="50.6640625" bestFit="1" customWidth="1"/>
    <col min="104" max="104" width="78" bestFit="1" customWidth="1"/>
    <col min="105" max="105" width="37.6640625" bestFit="1" customWidth="1"/>
    <col min="106" max="106" width="47.5" bestFit="1" customWidth="1"/>
    <col min="107" max="107" width="56.33203125" bestFit="1" customWidth="1"/>
    <col min="108" max="108" width="60.33203125" bestFit="1" customWidth="1"/>
    <col min="109" max="109" width="99.83203125" bestFit="1" customWidth="1"/>
    <col min="110" max="110" width="75.5" bestFit="1" customWidth="1"/>
    <col min="111" max="111" width="52.83203125" bestFit="1" customWidth="1"/>
    <col min="112" max="112" width="84.83203125" bestFit="1" customWidth="1"/>
    <col min="113" max="113" width="79.6640625" bestFit="1" customWidth="1"/>
    <col min="114" max="114" width="37.33203125" bestFit="1" customWidth="1"/>
    <col min="115" max="115" width="72.33203125" bestFit="1" customWidth="1"/>
    <col min="116" max="116" width="61" bestFit="1" customWidth="1"/>
    <col min="117" max="117" width="71.33203125" bestFit="1" customWidth="1"/>
    <col min="118" max="118" width="65.5" bestFit="1" customWidth="1"/>
    <col min="119" max="119" width="54.6640625" bestFit="1" customWidth="1"/>
    <col min="120" max="120" width="66" bestFit="1" customWidth="1"/>
    <col min="121" max="121" width="78.6640625" bestFit="1" customWidth="1"/>
    <col min="122" max="122" width="81" bestFit="1" customWidth="1"/>
    <col min="123" max="123" width="56.33203125" bestFit="1" customWidth="1"/>
    <col min="124" max="124" width="56.5" bestFit="1" customWidth="1"/>
    <col min="125" max="125" width="41.83203125" bestFit="1" customWidth="1"/>
    <col min="126" max="126" width="43.83203125" bestFit="1" customWidth="1"/>
    <col min="127" max="127" width="56.83203125" bestFit="1" customWidth="1"/>
    <col min="128" max="128" width="49.5" bestFit="1" customWidth="1"/>
    <col min="129" max="129" width="43.6640625" bestFit="1" customWidth="1"/>
    <col min="130" max="130" width="52.83203125" bestFit="1" customWidth="1"/>
    <col min="131" max="131" width="43.5" bestFit="1" customWidth="1"/>
    <col min="132" max="132" width="43.1640625" bestFit="1" customWidth="1"/>
    <col min="133" max="133" width="43.83203125" bestFit="1" customWidth="1"/>
    <col min="134" max="134" width="56.1640625" bestFit="1" customWidth="1"/>
    <col min="135" max="135" width="33.1640625" bestFit="1" customWidth="1"/>
    <col min="136" max="136" width="55.5" bestFit="1" customWidth="1"/>
    <col min="137" max="137" width="65" bestFit="1" customWidth="1"/>
    <col min="138" max="138" width="70.5" bestFit="1" customWidth="1"/>
    <col min="139" max="139" width="39.33203125" bestFit="1" customWidth="1"/>
    <col min="140" max="140" width="32.83203125" bestFit="1" customWidth="1"/>
    <col min="141" max="141" width="66.1640625" bestFit="1" customWidth="1"/>
    <col min="142" max="142" width="54.5" bestFit="1" customWidth="1"/>
    <col min="143" max="143" width="24" bestFit="1" customWidth="1"/>
    <col min="144" max="144" width="47" bestFit="1" customWidth="1"/>
    <col min="145" max="145" width="62" bestFit="1" customWidth="1"/>
    <col min="146" max="146" width="51" bestFit="1" customWidth="1"/>
    <col min="147" max="147" width="29.6640625" bestFit="1" customWidth="1"/>
    <col min="148" max="148" width="32.1640625" bestFit="1" customWidth="1"/>
    <col min="149" max="149" width="44.1640625" bestFit="1" customWidth="1"/>
    <col min="150" max="150" width="33.83203125" bestFit="1" customWidth="1"/>
    <col min="151" max="151" width="37.1640625" bestFit="1" customWidth="1"/>
    <col min="152" max="152" width="47.6640625" bestFit="1" customWidth="1"/>
    <col min="153" max="153" width="36" bestFit="1" customWidth="1"/>
    <col min="154" max="154" width="51.6640625" bestFit="1" customWidth="1"/>
    <col min="155" max="155" width="50.6640625" bestFit="1" customWidth="1"/>
    <col min="156" max="156" width="35.33203125" bestFit="1" customWidth="1"/>
    <col min="157" max="157" width="14.1640625" bestFit="1" customWidth="1"/>
    <col min="158" max="158" width="66" bestFit="1" customWidth="1"/>
    <col min="159" max="159" width="56.83203125" bestFit="1" customWidth="1"/>
    <col min="160" max="160" width="54.5" bestFit="1" customWidth="1"/>
    <col min="161" max="161" width="83" bestFit="1" customWidth="1"/>
    <col min="162" max="162" width="78.83203125" bestFit="1" customWidth="1"/>
    <col min="163" max="163" width="53" bestFit="1" customWidth="1"/>
    <col min="164" max="164" width="39.33203125" bestFit="1" customWidth="1"/>
    <col min="165" max="165" width="23.6640625" bestFit="1" customWidth="1"/>
    <col min="166" max="166" width="85" bestFit="1" customWidth="1"/>
    <col min="167" max="167" width="46.5" bestFit="1" customWidth="1"/>
    <col min="168" max="168" width="48.5" bestFit="1" customWidth="1"/>
    <col min="169" max="169" width="53.83203125" bestFit="1" customWidth="1"/>
    <col min="170" max="170" width="48.5" bestFit="1" customWidth="1"/>
    <col min="171" max="171" width="50.5" bestFit="1" customWidth="1"/>
    <col min="172" max="172" width="41.1640625" bestFit="1" customWidth="1"/>
    <col min="173" max="173" width="78" bestFit="1" customWidth="1"/>
    <col min="174" max="174" width="64.1640625" bestFit="1" customWidth="1"/>
    <col min="175" max="175" width="45" bestFit="1" customWidth="1"/>
    <col min="176" max="176" width="54.83203125" bestFit="1" customWidth="1"/>
    <col min="177" max="177" width="68.1640625" bestFit="1" customWidth="1"/>
    <col min="178" max="178" width="51.83203125" bestFit="1" customWidth="1"/>
    <col min="179" max="179" width="38.1640625" bestFit="1" customWidth="1"/>
    <col min="180" max="180" width="42.33203125" bestFit="1" customWidth="1"/>
    <col min="181" max="181" width="74.6640625" bestFit="1" customWidth="1"/>
    <col min="182" max="182" width="23" bestFit="1" customWidth="1"/>
    <col min="183" max="183" width="27.33203125" bestFit="1" customWidth="1"/>
    <col min="184" max="184" width="72.33203125" bestFit="1" customWidth="1"/>
    <col min="185" max="185" width="64.83203125" bestFit="1" customWidth="1"/>
    <col min="186" max="186" width="57.6640625" bestFit="1" customWidth="1"/>
    <col min="187" max="187" width="100.5" bestFit="1" customWidth="1"/>
    <col min="188" max="188" width="42.1640625" bestFit="1" customWidth="1"/>
    <col min="189" max="189" width="59.83203125" bestFit="1" customWidth="1"/>
    <col min="190" max="190" width="54.83203125" bestFit="1" customWidth="1"/>
    <col min="191" max="191" width="38.6640625" bestFit="1" customWidth="1"/>
    <col min="192" max="192" width="94" bestFit="1" customWidth="1"/>
    <col min="193" max="193" width="61.83203125" bestFit="1" customWidth="1"/>
    <col min="194" max="194" width="98.5" bestFit="1" customWidth="1"/>
    <col min="195" max="195" width="118" bestFit="1" customWidth="1"/>
    <col min="196" max="196" width="80.5" bestFit="1" customWidth="1"/>
    <col min="197" max="197" width="70.6640625" bestFit="1" customWidth="1"/>
    <col min="198" max="198" width="63.6640625" bestFit="1" customWidth="1"/>
    <col min="199" max="199" width="73.1640625" bestFit="1" customWidth="1"/>
    <col min="200" max="200" width="82.5" bestFit="1" customWidth="1"/>
    <col min="201" max="201" width="51.33203125" bestFit="1" customWidth="1"/>
    <col min="202" max="202" width="43.5" bestFit="1" customWidth="1"/>
    <col min="203" max="203" width="71.1640625" bestFit="1" customWidth="1"/>
    <col min="204" max="204" width="43.6640625" bestFit="1" customWidth="1"/>
    <col min="205" max="205" width="70.1640625" bestFit="1" customWidth="1"/>
    <col min="206" max="206" width="68.6640625" bestFit="1" customWidth="1"/>
    <col min="207" max="207" width="70.6640625" bestFit="1" customWidth="1"/>
    <col min="208" max="208" width="74.33203125" bestFit="1" customWidth="1"/>
    <col min="209" max="209" width="86.1640625" bestFit="1" customWidth="1"/>
    <col min="210" max="210" width="97.83203125" bestFit="1" customWidth="1"/>
    <col min="211" max="211" width="60" bestFit="1" customWidth="1"/>
    <col min="212" max="212" width="86.6640625" bestFit="1" customWidth="1"/>
    <col min="213" max="213" width="57.83203125" bestFit="1" customWidth="1"/>
    <col min="214" max="214" width="100.6640625" bestFit="1" customWidth="1"/>
    <col min="215" max="215" width="44.6640625" bestFit="1" customWidth="1"/>
    <col min="216" max="216" width="47.5" bestFit="1" customWidth="1"/>
    <col min="217" max="217" width="73.33203125" bestFit="1" customWidth="1"/>
    <col min="218" max="218" width="62.83203125" bestFit="1" customWidth="1"/>
    <col min="219" max="219" width="63.33203125" bestFit="1" customWidth="1"/>
    <col min="220" max="220" width="92.1640625" bestFit="1" customWidth="1"/>
    <col min="221" max="221" width="64.33203125" bestFit="1" customWidth="1"/>
    <col min="222" max="222" width="66.33203125" bestFit="1" customWidth="1"/>
    <col min="223" max="223" width="63.5" bestFit="1" customWidth="1"/>
    <col min="224" max="224" width="91.5" bestFit="1" customWidth="1"/>
    <col min="225" max="225" width="78.83203125" bestFit="1" customWidth="1"/>
    <col min="226" max="226" width="62" bestFit="1" customWidth="1"/>
    <col min="227" max="227" width="62.83203125" bestFit="1" customWidth="1"/>
    <col min="228" max="228" width="66.33203125" bestFit="1" customWidth="1"/>
    <col min="229" max="229" width="94.1640625" bestFit="1" customWidth="1"/>
    <col min="230" max="230" width="65.5" bestFit="1" customWidth="1"/>
    <col min="231" max="231" width="58.5" bestFit="1" customWidth="1"/>
    <col min="232" max="232" width="85" bestFit="1" customWidth="1"/>
    <col min="233" max="233" width="75.1640625" bestFit="1" customWidth="1"/>
    <col min="234" max="234" width="24.5" bestFit="1" customWidth="1"/>
    <col min="235" max="235" width="75" bestFit="1" customWidth="1"/>
    <col min="236" max="236" width="60" bestFit="1" customWidth="1"/>
    <col min="237" max="237" width="64.1640625" bestFit="1" customWidth="1"/>
    <col min="238" max="238" width="90.1640625" bestFit="1" customWidth="1"/>
    <col min="239" max="239" width="80.1640625" bestFit="1" customWidth="1"/>
    <col min="240" max="240" width="97.6640625" bestFit="1" customWidth="1"/>
    <col min="241" max="241" width="95.6640625" bestFit="1" customWidth="1"/>
    <col min="242" max="242" width="73.83203125" bestFit="1" customWidth="1"/>
    <col min="243" max="243" width="121.1640625" bestFit="1" customWidth="1"/>
    <col min="244" max="244" width="48.33203125" bestFit="1" customWidth="1"/>
    <col min="245" max="245" width="77.1640625" bestFit="1" customWidth="1"/>
    <col min="246" max="246" width="100.5" bestFit="1" customWidth="1"/>
    <col min="247" max="247" width="80" bestFit="1" customWidth="1"/>
    <col min="248" max="248" width="70.33203125" bestFit="1" customWidth="1"/>
    <col min="249" max="249" width="59.33203125" bestFit="1" customWidth="1"/>
    <col min="250" max="250" width="8.83203125" bestFit="1" customWidth="1"/>
    <col min="251" max="251" width="69.5" bestFit="1" customWidth="1"/>
    <col min="252" max="252" width="40.5" bestFit="1" customWidth="1"/>
    <col min="253" max="253" width="36.83203125" bestFit="1" customWidth="1"/>
    <col min="254" max="254" width="26.83203125" bestFit="1" customWidth="1"/>
    <col min="255" max="255" width="37.83203125" bestFit="1" customWidth="1"/>
    <col min="256" max="256" width="44.6640625" bestFit="1" customWidth="1"/>
    <col min="257" max="257" width="38.5" bestFit="1" customWidth="1"/>
    <col min="258" max="258" width="15.6640625" bestFit="1" customWidth="1"/>
    <col min="259" max="259" width="27" bestFit="1" customWidth="1"/>
    <col min="260" max="260" width="44.33203125" bestFit="1" customWidth="1"/>
    <col min="261" max="261" width="49.6640625" bestFit="1" customWidth="1"/>
    <col min="262" max="262" width="49.83203125" bestFit="1" customWidth="1"/>
    <col min="263" max="263" width="81.83203125" bestFit="1" customWidth="1"/>
    <col min="264" max="264" width="20.6640625" bestFit="1" customWidth="1"/>
    <col min="265" max="265" width="60" bestFit="1" customWidth="1"/>
    <col min="266" max="266" width="94" bestFit="1" customWidth="1"/>
    <col min="267" max="267" width="13.83203125" bestFit="1" customWidth="1"/>
    <col min="268" max="268" width="55.6640625" bestFit="1" customWidth="1"/>
    <col min="269" max="269" width="39.6640625" bestFit="1" customWidth="1"/>
    <col min="270" max="270" width="22.6640625" bestFit="1" customWidth="1"/>
    <col min="271" max="271" width="28" bestFit="1" customWidth="1"/>
    <col min="272" max="272" width="47.83203125" bestFit="1" customWidth="1"/>
    <col min="273" max="273" width="51.83203125" bestFit="1" customWidth="1"/>
    <col min="274" max="274" width="30.5" bestFit="1" customWidth="1"/>
    <col min="275" max="275" width="70.6640625" bestFit="1" customWidth="1"/>
    <col min="276" max="276" width="47.83203125" bestFit="1" customWidth="1"/>
    <col min="277" max="277" width="14.1640625" bestFit="1" customWidth="1"/>
    <col min="278" max="278" width="62.33203125" bestFit="1" customWidth="1"/>
    <col min="279" max="279" width="58.1640625" bestFit="1" customWidth="1"/>
    <col min="280" max="280" width="65.83203125" bestFit="1" customWidth="1"/>
    <col min="281" max="281" width="48.5" bestFit="1" customWidth="1"/>
    <col min="282" max="282" width="39.1640625" bestFit="1" customWidth="1"/>
    <col min="283" max="283" width="57.83203125" bestFit="1" customWidth="1"/>
    <col min="284" max="284" width="67.5" bestFit="1" customWidth="1"/>
    <col min="285" max="285" width="59.33203125" bestFit="1" customWidth="1"/>
    <col min="286" max="286" width="60" bestFit="1" customWidth="1"/>
    <col min="287" max="287" width="88.33203125" bestFit="1" customWidth="1"/>
    <col min="288" max="288" width="40.33203125" bestFit="1" customWidth="1"/>
    <col min="289" max="289" width="54" bestFit="1" customWidth="1"/>
    <col min="290" max="290" width="47" bestFit="1" customWidth="1"/>
    <col min="291" max="291" width="60.33203125" bestFit="1" customWidth="1"/>
    <col min="292" max="292" width="55.83203125" bestFit="1" customWidth="1"/>
    <col min="293" max="293" width="54.1640625" bestFit="1" customWidth="1"/>
    <col min="294" max="294" width="52.33203125" bestFit="1" customWidth="1"/>
    <col min="295" max="295" width="55" bestFit="1" customWidth="1"/>
    <col min="296" max="296" width="79.6640625" bestFit="1" customWidth="1"/>
    <col min="297" max="297" width="69.33203125" bestFit="1" customWidth="1"/>
    <col min="298" max="298" width="41.33203125" bestFit="1" customWidth="1"/>
    <col min="299" max="299" width="67.83203125" bestFit="1" customWidth="1"/>
    <col min="300" max="300" width="32" bestFit="1" customWidth="1"/>
    <col min="301" max="301" width="114.1640625" bestFit="1" customWidth="1"/>
    <col min="302" max="302" width="59" bestFit="1" customWidth="1"/>
    <col min="303" max="303" width="67.83203125" bestFit="1" customWidth="1"/>
    <col min="304" max="304" width="85.5" bestFit="1" customWidth="1"/>
    <col min="305" max="305" width="71.33203125" bestFit="1" customWidth="1"/>
    <col min="306" max="306" width="70.5" bestFit="1" customWidth="1"/>
    <col min="307" max="307" width="45.33203125" bestFit="1" customWidth="1"/>
    <col min="308" max="308" width="50.5" bestFit="1" customWidth="1"/>
    <col min="309" max="309" width="47.5" bestFit="1" customWidth="1"/>
    <col min="310" max="310" width="55.83203125" bestFit="1" customWidth="1"/>
    <col min="311" max="311" width="49.83203125" bestFit="1" customWidth="1"/>
    <col min="312" max="312" width="62.5" bestFit="1" customWidth="1"/>
    <col min="313" max="313" width="74" bestFit="1" customWidth="1"/>
    <col min="314" max="314" width="55.1640625" bestFit="1" customWidth="1"/>
    <col min="315" max="315" width="61" bestFit="1" customWidth="1"/>
    <col min="316" max="316" width="82.1640625" bestFit="1" customWidth="1"/>
    <col min="317" max="317" width="47.33203125" bestFit="1" customWidth="1"/>
    <col min="318" max="318" width="48.1640625" bestFit="1" customWidth="1"/>
    <col min="319" max="319" width="73.6640625" bestFit="1" customWidth="1"/>
    <col min="320" max="320" width="35.83203125" bestFit="1" customWidth="1"/>
    <col min="321" max="321" width="61.6640625" bestFit="1" customWidth="1"/>
    <col min="322" max="322" width="85.6640625" bestFit="1" customWidth="1"/>
    <col min="323" max="323" width="94.83203125" bestFit="1" customWidth="1"/>
    <col min="324" max="324" width="104.5" bestFit="1" customWidth="1"/>
    <col min="325" max="325" width="84.6640625" bestFit="1" customWidth="1"/>
    <col min="326" max="326" width="73.5" bestFit="1" customWidth="1"/>
    <col min="327" max="327" width="63.5" bestFit="1" customWidth="1"/>
    <col min="328" max="328" width="82.6640625" bestFit="1" customWidth="1"/>
    <col min="329" max="329" width="62.83203125" bestFit="1" customWidth="1"/>
    <col min="330" max="330" width="59.6640625" bestFit="1" customWidth="1"/>
    <col min="331" max="331" width="60.83203125" bestFit="1" customWidth="1"/>
    <col min="332" max="332" width="103.5" bestFit="1" customWidth="1"/>
    <col min="333" max="333" width="71.1640625" bestFit="1" customWidth="1"/>
    <col min="334" max="334" width="74.5" bestFit="1" customWidth="1"/>
    <col min="335" max="335" width="74.1640625" bestFit="1" customWidth="1"/>
    <col min="336" max="336" width="90" bestFit="1" customWidth="1"/>
    <col min="337" max="337" width="54" bestFit="1" customWidth="1"/>
    <col min="338" max="338" width="69.5" bestFit="1" customWidth="1"/>
    <col min="339" max="339" width="24.33203125" bestFit="1" customWidth="1"/>
    <col min="340" max="340" width="101.33203125" bestFit="1" customWidth="1"/>
    <col min="341" max="341" width="27.33203125" bestFit="1" customWidth="1"/>
    <col min="342" max="342" width="67.1640625" bestFit="1" customWidth="1"/>
    <col min="343" max="343" width="46.33203125" bestFit="1" customWidth="1"/>
    <col min="344" max="344" width="57.1640625" bestFit="1" customWidth="1"/>
    <col min="345" max="345" width="41.33203125" bestFit="1" customWidth="1"/>
    <col min="346" max="346" width="71.6640625" bestFit="1" customWidth="1"/>
    <col min="347" max="347" width="44.5" bestFit="1" customWidth="1"/>
    <col min="348" max="348" width="49.83203125" bestFit="1" customWidth="1"/>
    <col min="349" max="349" width="75.83203125" bestFit="1" customWidth="1"/>
    <col min="350" max="350" width="56.5" bestFit="1" customWidth="1"/>
    <col min="351" max="351" width="42.5" bestFit="1" customWidth="1"/>
    <col min="352" max="352" width="72.83203125" bestFit="1" customWidth="1"/>
    <col min="353" max="353" width="32.33203125" bestFit="1" customWidth="1"/>
    <col min="354" max="354" width="50.6640625" bestFit="1" customWidth="1"/>
    <col min="355" max="355" width="55.83203125" bestFit="1" customWidth="1"/>
    <col min="356" max="356" width="36.6640625" bestFit="1" customWidth="1"/>
    <col min="357" max="357" width="47.6640625" bestFit="1" customWidth="1"/>
    <col min="358" max="358" width="42.6640625" bestFit="1" customWidth="1"/>
    <col min="359" max="359" width="37.1640625" bestFit="1" customWidth="1"/>
    <col min="360" max="360" width="75.1640625" bestFit="1" customWidth="1"/>
    <col min="361" max="361" width="52" bestFit="1" customWidth="1"/>
    <col min="362" max="362" width="68.33203125" bestFit="1" customWidth="1"/>
    <col min="363" max="363" width="24.1640625" bestFit="1" customWidth="1"/>
    <col min="364" max="364" width="79.83203125" bestFit="1" customWidth="1"/>
    <col min="365" max="365" width="60.83203125" bestFit="1" customWidth="1"/>
    <col min="366" max="366" width="88.83203125" bestFit="1" customWidth="1"/>
    <col min="367" max="367" width="101.1640625" bestFit="1" customWidth="1"/>
    <col min="368" max="368" width="60.5" bestFit="1" customWidth="1"/>
    <col min="369" max="369" width="71.83203125" bestFit="1" customWidth="1"/>
    <col min="370" max="370" width="22.33203125" bestFit="1" customWidth="1"/>
    <col min="371" max="371" width="63" bestFit="1" customWidth="1"/>
    <col min="372" max="372" width="55.1640625" bestFit="1" customWidth="1"/>
    <col min="373" max="373" width="76" bestFit="1" customWidth="1"/>
    <col min="374" max="374" width="73.33203125" bestFit="1" customWidth="1"/>
    <col min="375" max="375" width="70.5" bestFit="1" customWidth="1"/>
    <col min="376" max="376" width="55.5" bestFit="1" customWidth="1"/>
    <col min="377" max="377" width="57.6640625" bestFit="1" customWidth="1"/>
    <col min="378" max="378" width="24" bestFit="1" customWidth="1"/>
    <col min="379" max="379" width="47.33203125" bestFit="1" customWidth="1"/>
    <col min="380" max="380" width="50.83203125" bestFit="1" customWidth="1"/>
    <col min="381" max="381" width="32.5" bestFit="1" customWidth="1"/>
    <col min="382" max="382" width="43.5" bestFit="1" customWidth="1"/>
    <col min="383" max="383" width="50.33203125" bestFit="1" customWidth="1"/>
    <col min="384" max="384" width="60" bestFit="1" customWidth="1"/>
    <col min="385" max="385" width="82.33203125" bestFit="1" customWidth="1"/>
    <col min="386" max="386" width="84.5" bestFit="1" customWidth="1"/>
    <col min="387" max="387" width="55" bestFit="1" customWidth="1"/>
    <col min="388" max="388" width="66.83203125" bestFit="1" customWidth="1"/>
    <col min="389" max="389" width="73.6640625" bestFit="1" customWidth="1"/>
    <col min="390" max="390" width="56" bestFit="1" customWidth="1"/>
    <col min="391" max="391" width="49.33203125" bestFit="1" customWidth="1"/>
    <col min="392" max="392" width="93.83203125" bestFit="1" customWidth="1"/>
    <col min="393" max="393" width="76" bestFit="1" customWidth="1"/>
    <col min="394" max="394" width="66.83203125" bestFit="1" customWidth="1"/>
    <col min="395" max="395" width="50" bestFit="1" customWidth="1"/>
    <col min="396" max="396" width="65.6640625" bestFit="1" customWidth="1"/>
    <col min="397" max="397" width="50.83203125" bestFit="1" customWidth="1"/>
    <col min="398" max="398" width="54.6640625" bestFit="1" customWidth="1"/>
    <col min="399" max="399" width="42.5" bestFit="1" customWidth="1"/>
    <col min="400" max="400" width="36.5" bestFit="1" customWidth="1"/>
    <col min="401" max="401" width="50" bestFit="1" customWidth="1"/>
    <col min="402" max="402" width="69" bestFit="1" customWidth="1"/>
    <col min="403" max="403" width="64.33203125" bestFit="1" customWidth="1"/>
    <col min="404" max="404" width="46.6640625" bestFit="1" customWidth="1"/>
    <col min="405" max="405" width="44.5" bestFit="1" customWidth="1"/>
    <col min="406" max="406" width="42.6640625" bestFit="1" customWidth="1"/>
    <col min="407" max="407" width="37.5" bestFit="1" customWidth="1"/>
    <col min="408" max="408" width="71.5" bestFit="1" customWidth="1"/>
    <col min="409" max="409" width="40.6640625" bestFit="1" customWidth="1"/>
    <col min="410" max="410" width="56.83203125" bestFit="1" customWidth="1"/>
    <col min="411" max="411" width="37.83203125" bestFit="1" customWidth="1"/>
    <col min="412" max="412" width="44.83203125" bestFit="1" customWidth="1"/>
    <col min="413" max="413" width="26.33203125" bestFit="1" customWidth="1"/>
    <col min="414" max="414" width="76.1640625" bestFit="1" customWidth="1"/>
    <col min="415" max="415" width="69.1640625" bestFit="1" customWidth="1"/>
    <col min="416" max="416" width="66.5" bestFit="1" customWidth="1"/>
    <col min="417" max="417" width="56" bestFit="1" customWidth="1"/>
    <col min="418" max="418" width="61.1640625" bestFit="1" customWidth="1"/>
    <col min="419" max="419" width="55.33203125" bestFit="1" customWidth="1"/>
    <col min="420" max="420" width="54.1640625" bestFit="1" customWidth="1"/>
    <col min="421" max="421" width="52.1640625" bestFit="1" customWidth="1"/>
    <col min="422" max="422" width="74.33203125" bestFit="1" customWidth="1"/>
    <col min="423" max="423" width="46.6640625" bestFit="1" customWidth="1"/>
    <col min="424" max="424" width="49.5" bestFit="1" customWidth="1"/>
    <col min="425" max="425" width="58.83203125" bestFit="1" customWidth="1"/>
    <col min="426" max="426" width="33.5" bestFit="1" customWidth="1"/>
    <col min="427" max="427" width="52.6640625" bestFit="1" customWidth="1"/>
    <col min="428" max="428" width="53.33203125" bestFit="1" customWidth="1"/>
    <col min="429" max="429" width="72.5" bestFit="1" customWidth="1"/>
    <col min="430" max="430" width="94.33203125" bestFit="1" customWidth="1"/>
    <col min="431" max="431" width="82" bestFit="1" customWidth="1"/>
    <col min="432" max="432" width="34" bestFit="1" customWidth="1"/>
    <col min="433" max="433" width="55.83203125" bestFit="1" customWidth="1"/>
    <col min="434" max="434" width="56.1640625" bestFit="1" customWidth="1"/>
    <col min="435" max="435" width="67.33203125" bestFit="1" customWidth="1"/>
    <col min="436" max="436" width="84.5" bestFit="1" customWidth="1"/>
    <col min="437" max="437" width="78.33203125" bestFit="1" customWidth="1"/>
    <col min="438" max="438" width="65.5" bestFit="1" customWidth="1"/>
    <col min="439" max="439" width="57.5" bestFit="1" customWidth="1"/>
    <col min="440" max="440" width="78.33203125" bestFit="1" customWidth="1"/>
    <col min="441" max="441" width="106" bestFit="1" customWidth="1"/>
    <col min="442" max="442" width="66" bestFit="1" customWidth="1"/>
    <col min="443" max="443" width="35" bestFit="1" customWidth="1"/>
    <col min="444" max="444" width="73.6640625" bestFit="1" customWidth="1"/>
    <col min="445" max="445" width="63" bestFit="1" customWidth="1"/>
    <col min="446" max="446" width="47.83203125" bestFit="1" customWidth="1"/>
    <col min="447" max="447" width="44.83203125" bestFit="1" customWidth="1"/>
    <col min="448" max="448" width="51.83203125" bestFit="1" customWidth="1"/>
    <col min="449" max="449" width="46.6640625" bestFit="1" customWidth="1"/>
    <col min="450" max="450" width="55.33203125" bestFit="1" customWidth="1"/>
    <col min="451" max="451" width="28.83203125" bestFit="1" customWidth="1"/>
    <col min="452" max="452" width="86.33203125" bestFit="1" customWidth="1"/>
    <col min="453" max="453" width="47" bestFit="1" customWidth="1"/>
    <col min="454" max="454" width="71.5" bestFit="1" customWidth="1"/>
    <col min="455" max="455" width="91.1640625" bestFit="1" customWidth="1"/>
    <col min="456" max="456" width="94.6640625" bestFit="1" customWidth="1"/>
    <col min="457" max="457" width="44.83203125" bestFit="1" customWidth="1"/>
    <col min="458" max="458" width="48.5" bestFit="1" customWidth="1"/>
    <col min="459" max="459" width="66.83203125" bestFit="1" customWidth="1"/>
    <col min="460" max="460" width="56.6640625" bestFit="1" customWidth="1"/>
    <col min="461" max="461" width="59" bestFit="1" customWidth="1"/>
    <col min="462" max="462" width="78.83203125" bestFit="1" customWidth="1"/>
    <col min="463" max="463" width="46" bestFit="1" customWidth="1"/>
    <col min="464" max="464" width="47.33203125" bestFit="1" customWidth="1"/>
    <col min="465" max="465" width="64.33203125" bestFit="1" customWidth="1"/>
    <col min="466" max="466" width="92.33203125" bestFit="1" customWidth="1"/>
    <col min="467" max="467" width="79.6640625" bestFit="1" customWidth="1"/>
    <col min="468" max="468" width="62.5" bestFit="1" customWidth="1"/>
    <col min="469" max="469" width="87.1640625" bestFit="1" customWidth="1"/>
    <col min="470" max="470" width="53.83203125" bestFit="1" customWidth="1"/>
    <col min="471" max="471" width="68.1640625" bestFit="1" customWidth="1"/>
    <col min="472" max="472" width="69.33203125" bestFit="1" customWidth="1"/>
    <col min="473" max="473" width="58.1640625" bestFit="1" customWidth="1"/>
    <col min="474" max="474" width="75" bestFit="1" customWidth="1"/>
    <col min="475" max="475" width="66.6640625" bestFit="1" customWidth="1"/>
    <col min="476" max="476" width="77" bestFit="1" customWidth="1"/>
    <col min="477" max="477" width="48.83203125" bestFit="1" customWidth="1"/>
    <col min="478" max="478" width="66.83203125" bestFit="1" customWidth="1"/>
    <col min="479" max="479" width="65.1640625" bestFit="1" customWidth="1"/>
    <col min="480" max="480" width="50.33203125" bestFit="1" customWidth="1"/>
    <col min="481" max="481" width="41.5" bestFit="1" customWidth="1"/>
    <col min="482" max="482" width="66.83203125" bestFit="1" customWidth="1"/>
    <col min="483" max="483" width="46.6640625" bestFit="1" customWidth="1"/>
    <col min="484" max="484" width="58.83203125" bestFit="1" customWidth="1"/>
    <col min="485" max="485" width="51" bestFit="1" customWidth="1"/>
    <col min="486" max="486" width="57.33203125" bestFit="1" customWidth="1"/>
    <col min="487" max="487" width="35.5" bestFit="1" customWidth="1"/>
    <col min="488" max="488" width="27.83203125" bestFit="1" customWidth="1"/>
    <col min="489" max="489" width="24.6640625" bestFit="1" customWidth="1"/>
    <col min="490" max="490" width="15.83203125" bestFit="1" customWidth="1"/>
    <col min="491" max="491" width="31.5" bestFit="1" customWidth="1"/>
    <col min="492" max="492" width="26.33203125" bestFit="1" customWidth="1"/>
    <col min="493" max="493" width="26.83203125" bestFit="1" customWidth="1"/>
    <col min="494" max="494" width="37.5" bestFit="1" customWidth="1"/>
    <col min="495" max="495" width="25.6640625" bestFit="1" customWidth="1"/>
    <col min="496" max="496" width="42.33203125" bestFit="1" customWidth="1"/>
    <col min="497" max="497" width="45" bestFit="1" customWidth="1"/>
    <col min="498" max="498" width="75.6640625" bestFit="1" customWidth="1"/>
    <col min="499" max="499" width="62" bestFit="1" customWidth="1"/>
    <col min="500" max="500" width="67.83203125" bestFit="1" customWidth="1"/>
    <col min="501" max="501" width="29.5" bestFit="1" customWidth="1"/>
    <col min="502" max="502" width="83.83203125" bestFit="1" customWidth="1"/>
    <col min="503" max="503" width="88.83203125" bestFit="1" customWidth="1"/>
    <col min="504" max="504" width="75" bestFit="1" customWidth="1"/>
    <col min="505" max="505" width="55.33203125" bestFit="1" customWidth="1"/>
    <col min="506" max="506" width="75" bestFit="1" customWidth="1"/>
    <col min="507" max="507" width="63.1640625" bestFit="1" customWidth="1"/>
    <col min="508" max="508" width="55.33203125" bestFit="1" customWidth="1"/>
    <col min="509" max="509" width="70.83203125" bestFit="1" customWidth="1"/>
    <col min="510" max="510" width="69.5" bestFit="1" customWidth="1"/>
    <col min="511" max="511" width="100.5" bestFit="1" customWidth="1"/>
    <col min="512" max="512" width="82.83203125" bestFit="1" customWidth="1"/>
    <col min="513" max="513" width="105" bestFit="1" customWidth="1"/>
    <col min="514" max="514" width="86.5" bestFit="1" customWidth="1"/>
    <col min="515" max="515" width="46" bestFit="1" customWidth="1"/>
    <col min="516" max="516" width="82.1640625" bestFit="1" customWidth="1"/>
    <col min="517" max="517" width="58.33203125" bestFit="1" customWidth="1"/>
    <col min="518" max="518" width="51.83203125" bestFit="1" customWidth="1"/>
    <col min="519" max="519" width="72" bestFit="1" customWidth="1"/>
    <col min="520" max="520" width="92.6640625" bestFit="1" customWidth="1"/>
    <col min="521" max="521" width="88.33203125" bestFit="1" customWidth="1"/>
    <col min="522" max="522" width="70.83203125" bestFit="1" customWidth="1"/>
    <col min="523" max="523" width="60.83203125" bestFit="1" customWidth="1"/>
    <col min="524" max="524" width="66" bestFit="1" customWidth="1"/>
    <col min="525" max="525" width="91.33203125" bestFit="1" customWidth="1"/>
    <col min="526" max="526" width="54.6640625" bestFit="1" customWidth="1"/>
    <col min="527" max="527" width="22" bestFit="1" customWidth="1"/>
    <col min="528" max="528" width="39.5" bestFit="1" customWidth="1"/>
    <col min="529" max="529" width="30" bestFit="1" customWidth="1"/>
    <col min="530" max="530" width="20.1640625" bestFit="1" customWidth="1"/>
    <col min="531" max="531" width="47.6640625" bestFit="1" customWidth="1"/>
    <col min="532" max="532" width="47" bestFit="1" customWidth="1"/>
    <col min="533" max="533" width="68.5" bestFit="1" customWidth="1"/>
    <col min="534" max="534" width="34.33203125" bestFit="1" customWidth="1"/>
    <col min="535" max="535" width="42.83203125" bestFit="1" customWidth="1"/>
    <col min="536" max="536" width="27.1640625" bestFit="1" customWidth="1"/>
    <col min="537" max="537" width="29.1640625" bestFit="1" customWidth="1"/>
    <col min="538" max="538" width="30.83203125" bestFit="1" customWidth="1"/>
    <col min="539" max="539" width="74.6640625" bestFit="1" customWidth="1"/>
    <col min="540" max="540" width="94.83203125" bestFit="1" customWidth="1"/>
    <col min="541" max="541" width="41" bestFit="1" customWidth="1"/>
    <col min="542" max="542" width="67.33203125" bestFit="1" customWidth="1"/>
    <col min="543" max="543" width="101.33203125" bestFit="1" customWidth="1"/>
    <col min="544" max="544" width="32.83203125" bestFit="1" customWidth="1"/>
    <col min="545" max="545" width="60.6640625" bestFit="1" customWidth="1"/>
    <col min="546" max="546" width="77.33203125" bestFit="1" customWidth="1"/>
    <col min="547" max="547" width="54.5" bestFit="1" customWidth="1"/>
    <col min="548" max="548" width="117.33203125" bestFit="1" customWidth="1"/>
    <col min="549" max="549" width="83.1640625" bestFit="1" customWidth="1"/>
    <col min="550" max="550" width="63.6640625" bestFit="1" customWidth="1"/>
    <col min="551" max="551" width="38.33203125" bestFit="1" customWidth="1"/>
    <col min="552" max="552" width="28.33203125" bestFit="1" customWidth="1"/>
    <col min="553" max="553" width="43" bestFit="1" customWidth="1"/>
    <col min="554" max="554" width="33.33203125" bestFit="1" customWidth="1"/>
    <col min="555" max="555" width="40.6640625" bestFit="1" customWidth="1"/>
    <col min="556" max="556" width="38" bestFit="1" customWidth="1"/>
    <col min="557" max="557" width="48.83203125" bestFit="1" customWidth="1"/>
    <col min="558" max="558" width="75.83203125" bestFit="1" customWidth="1"/>
    <col min="559" max="559" width="55" bestFit="1" customWidth="1"/>
    <col min="560" max="560" width="54.83203125" bestFit="1" customWidth="1"/>
    <col min="561" max="561" width="81.33203125" bestFit="1" customWidth="1"/>
    <col min="562" max="562" width="61.1640625" bestFit="1" customWidth="1"/>
    <col min="563" max="563" width="58" bestFit="1" customWidth="1"/>
    <col min="564" max="564" width="49.5" bestFit="1" customWidth="1"/>
    <col min="565" max="565" width="59.5" bestFit="1" customWidth="1"/>
    <col min="566" max="566" width="62.5" bestFit="1" customWidth="1"/>
    <col min="567" max="567" width="70.83203125" bestFit="1" customWidth="1"/>
    <col min="568" max="568" width="80.5" bestFit="1" customWidth="1"/>
    <col min="569" max="569" width="68.5" bestFit="1" customWidth="1"/>
    <col min="570" max="570" width="99.1640625" bestFit="1" customWidth="1"/>
    <col min="571" max="571" width="84.33203125" bestFit="1" customWidth="1"/>
    <col min="572" max="572" width="45.33203125" bestFit="1" customWidth="1"/>
    <col min="573" max="573" width="64.83203125" bestFit="1" customWidth="1"/>
    <col min="574" max="574" width="112.1640625" bestFit="1" customWidth="1"/>
    <col min="575" max="575" width="71.1640625" bestFit="1" customWidth="1"/>
    <col min="576" max="576" width="82" bestFit="1" customWidth="1"/>
    <col min="577" max="577" width="46.6640625" bestFit="1" customWidth="1"/>
    <col min="578" max="578" width="64.1640625" bestFit="1" customWidth="1"/>
    <col min="579" max="579" width="34" bestFit="1" customWidth="1"/>
    <col min="580" max="580" width="43.33203125" bestFit="1" customWidth="1"/>
    <col min="581" max="581" width="28.5" bestFit="1" customWidth="1"/>
    <col min="582" max="582" width="43" bestFit="1" customWidth="1"/>
    <col min="583" max="583" width="61.83203125" bestFit="1" customWidth="1"/>
    <col min="584" max="584" width="35.6640625" bestFit="1" customWidth="1"/>
    <col min="585" max="585" width="34.33203125" bestFit="1" customWidth="1"/>
    <col min="586" max="586" width="65.33203125" bestFit="1" customWidth="1"/>
    <col min="587" max="587" width="68.83203125" bestFit="1" customWidth="1"/>
    <col min="588" max="588" width="51.6640625" bestFit="1" customWidth="1"/>
    <col min="589" max="589" width="97" bestFit="1" customWidth="1"/>
    <col min="590" max="590" width="47.83203125" bestFit="1" customWidth="1"/>
    <col min="591" max="591" width="40" bestFit="1" customWidth="1"/>
    <col min="592" max="592" width="31.5" bestFit="1" customWidth="1"/>
    <col min="593" max="593" width="20" bestFit="1" customWidth="1"/>
    <col min="594" max="594" width="49" bestFit="1" customWidth="1"/>
    <col min="595" max="595" width="9.83203125" bestFit="1" customWidth="1"/>
    <col min="596" max="596" width="43" bestFit="1" customWidth="1"/>
    <col min="597" max="597" width="25.83203125" bestFit="1" customWidth="1"/>
    <col min="598" max="598" width="37.1640625" bestFit="1" customWidth="1"/>
    <col min="599" max="599" width="22.33203125" bestFit="1" customWidth="1"/>
    <col min="600" max="600" width="28.5" bestFit="1" customWidth="1"/>
    <col min="601" max="601" width="30" bestFit="1" customWidth="1"/>
    <col min="602" max="602" width="34.33203125" bestFit="1" customWidth="1"/>
    <col min="603" max="603" width="42.6640625" bestFit="1" customWidth="1"/>
    <col min="604" max="604" width="59.1640625" bestFit="1" customWidth="1"/>
    <col min="605" max="605" width="30.6640625" bestFit="1" customWidth="1"/>
    <col min="606" max="606" width="32.83203125" bestFit="1" customWidth="1"/>
    <col min="607" max="607" width="35.83203125" bestFit="1" customWidth="1"/>
    <col min="608" max="608" width="24.83203125" bestFit="1" customWidth="1"/>
    <col min="609" max="609" width="27.1640625" bestFit="1" customWidth="1"/>
    <col min="610" max="610" width="23.5" bestFit="1" customWidth="1"/>
    <col min="611" max="611" width="27.6640625" bestFit="1" customWidth="1"/>
    <col min="612" max="612" width="41.5" bestFit="1" customWidth="1"/>
    <col min="613" max="613" width="54.33203125" bestFit="1" customWidth="1"/>
    <col min="614" max="614" width="22.1640625" bestFit="1" customWidth="1"/>
    <col min="615" max="615" width="38.33203125" bestFit="1" customWidth="1"/>
    <col min="616" max="616" width="14.6640625" bestFit="1" customWidth="1"/>
    <col min="617" max="617" width="19.1640625" bestFit="1" customWidth="1"/>
    <col min="618" max="618" width="33.5" bestFit="1" customWidth="1"/>
    <col min="619" max="619" width="39.6640625" bestFit="1" customWidth="1"/>
    <col min="620" max="620" width="40" bestFit="1" customWidth="1"/>
    <col min="621" max="621" width="39.6640625" bestFit="1" customWidth="1"/>
    <col min="622" max="622" width="77.83203125" bestFit="1" customWidth="1"/>
    <col min="623" max="623" width="68.5" bestFit="1" customWidth="1"/>
    <col min="624" max="624" width="83" bestFit="1" customWidth="1"/>
    <col min="625" max="625" width="81.5" bestFit="1" customWidth="1"/>
    <col min="626" max="626" width="44.33203125" bestFit="1" customWidth="1"/>
    <col min="627" max="627" width="58.33203125" bestFit="1" customWidth="1"/>
    <col min="628" max="628" width="46.6640625" bestFit="1" customWidth="1"/>
    <col min="629" max="629" width="57.83203125" bestFit="1" customWidth="1"/>
    <col min="630" max="630" width="59.5" bestFit="1" customWidth="1"/>
    <col min="631" max="631" width="69" bestFit="1" customWidth="1"/>
    <col min="632" max="632" width="70.83203125" bestFit="1" customWidth="1"/>
    <col min="633" max="633" width="88" bestFit="1" customWidth="1"/>
    <col min="634" max="634" width="63.5" bestFit="1" customWidth="1"/>
    <col min="635" max="635" width="55" bestFit="1" customWidth="1"/>
    <col min="636" max="636" width="66" bestFit="1" customWidth="1"/>
    <col min="637" max="637" width="60" bestFit="1" customWidth="1"/>
    <col min="638" max="638" width="87" bestFit="1" customWidth="1"/>
    <col min="639" max="639" width="73.6640625" bestFit="1" customWidth="1"/>
    <col min="640" max="640" width="60.33203125" bestFit="1" customWidth="1"/>
    <col min="641" max="641" width="47.83203125" bestFit="1" customWidth="1"/>
    <col min="642" max="642" width="55.6640625" bestFit="1" customWidth="1"/>
    <col min="643" max="643" width="42.6640625" bestFit="1" customWidth="1"/>
    <col min="644" max="644" width="45.83203125" bestFit="1" customWidth="1"/>
    <col min="645" max="645" width="39.5" bestFit="1" customWidth="1"/>
    <col min="646" max="646" width="67.83203125" bestFit="1" customWidth="1"/>
    <col min="647" max="647" width="45" bestFit="1" customWidth="1"/>
    <col min="648" max="648" width="54.1640625" bestFit="1" customWidth="1"/>
    <col min="649" max="649" width="56.83203125" bestFit="1" customWidth="1"/>
    <col min="650" max="650" width="44.83203125" bestFit="1" customWidth="1"/>
    <col min="651" max="651" width="62.83203125" bestFit="1" customWidth="1"/>
    <col min="652" max="652" width="66" bestFit="1" customWidth="1"/>
    <col min="653" max="653" width="56.5" bestFit="1" customWidth="1"/>
    <col min="654" max="654" width="59.6640625" bestFit="1" customWidth="1"/>
    <col min="655" max="655" width="32.33203125" bestFit="1" customWidth="1"/>
    <col min="656" max="656" width="59.33203125" bestFit="1" customWidth="1"/>
    <col min="657" max="657" width="45.5" bestFit="1" customWidth="1"/>
    <col min="658" max="658" width="66.33203125" bestFit="1" customWidth="1"/>
    <col min="659" max="659" width="39.6640625" bestFit="1" customWidth="1"/>
    <col min="660" max="660" width="52.83203125" bestFit="1" customWidth="1"/>
    <col min="661" max="661" width="35" bestFit="1" customWidth="1"/>
    <col min="662" max="662" width="22.5" bestFit="1" customWidth="1"/>
    <col min="663" max="663" width="30.6640625" bestFit="1" customWidth="1"/>
    <col min="664" max="664" width="26.6640625" bestFit="1" customWidth="1"/>
    <col min="665" max="665" width="26.33203125" bestFit="1" customWidth="1"/>
    <col min="666" max="666" width="29.6640625" bestFit="1" customWidth="1"/>
    <col min="667" max="667" width="36.83203125" bestFit="1" customWidth="1"/>
    <col min="668" max="668" width="36" bestFit="1" customWidth="1"/>
    <col min="669" max="669" width="32" bestFit="1" customWidth="1"/>
    <col min="670" max="670" width="67.6640625" bestFit="1" customWidth="1"/>
    <col min="671" max="671" width="42.33203125" bestFit="1" customWidth="1"/>
    <col min="672" max="672" width="62.33203125" bestFit="1" customWidth="1"/>
    <col min="673" max="673" width="73.6640625" bestFit="1" customWidth="1"/>
    <col min="674" max="674" width="40.33203125" bestFit="1" customWidth="1"/>
    <col min="675" max="675" width="53.83203125" bestFit="1" customWidth="1"/>
    <col min="676" max="676" width="73" bestFit="1" customWidth="1"/>
    <col min="677" max="677" width="73.5" bestFit="1" customWidth="1"/>
    <col min="678" max="678" width="60.1640625" bestFit="1" customWidth="1"/>
    <col min="679" max="679" width="53.33203125" bestFit="1" customWidth="1"/>
    <col min="680" max="680" width="78.33203125" bestFit="1" customWidth="1"/>
    <col min="681" max="681" width="48.5" bestFit="1" customWidth="1"/>
    <col min="682" max="682" width="55" bestFit="1" customWidth="1"/>
    <col min="683" max="683" width="66.83203125" bestFit="1" customWidth="1"/>
    <col min="684" max="684" width="65.6640625" bestFit="1" customWidth="1"/>
    <col min="685" max="685" width="59.83203125" bestFit="1" customWidth="1"/>
    <col min="686" max="686" width="44.6640625" bestFit="1" customWidth="1"/>
    <col min="687" max="687" width="65.83203125" bestFit="1" customWidth="1"/>
    <col min="688" max="688" width="57.1640625" bestFit="1" customWidth="1"/>
    <col min="689" max="689" width="63.6640625" bestFit="1" customWidth="1"/>
    <col min="690" max="690" width="56.83203125" bestFit="1" customWidth="1"/>
    <col min="691" max="691" width="41.5" bestFit="1" customWidth="1"/>
    <col min="692" max="692" width="42" bestFit="1" customWidth="1"/>
    <col min="693" max="693" width="36" bestFit="1" customWidth="1"/>
    <col min="694" max="694" width="27.33203125" bestFit="1" customWidth="1"/>
    <col min="695" max="695" width="35.5" bestFit="1" customWidth="1"/>
    <col min="696" max="696" width="48.1640625" bestFit="1" customWidth="1"/>
    <col min="697" max="697" width="39.83203125" bestFit="1" customWidth="1"/>
    <col min="698" max="698" width="41.5" bestFit="1" customWidth="1"/>
    <col min="699" max="699" width="14.1640625" bestFit="1" customWidth="1"/>
    <col min="700" max="700" width="46.6640625" bestFit="1" customWidth="1"/>
    <col min="701" max="701" width="25" bestFit="1" customWidth="1"/>
    <col min="702" max="702" width="39.33203125" bestFit="1" customWidth="1"/>
    <col min="703" max="703" width="41.5" bestFit="1" customWidth="1"/>
    <col min="704" max="704" width="25.6640625" bestFit="1" customWidth="1"/>
    <col min="705" max="705" width="24.33203125" bestFit="1" customWidth="1"/>
    <col min="706" max="706" width="29.5" bestFit="1" customWidth="1"/>
    <col min="707" max="707" width="39.6640625" bestFit="1" customWidth="1"/>
    <col min="708" max="708" width="42.1640625" bestFit="1" customWidth="1"/>
    <col min="709" max="709" width="18.1640625" bestFit="1" customWidth="1"/>
    <col min="710" max="710" width="32.33203125" bestFit="1" customWidth="1"/>
    <col min="711" max="711" width="31.83203125" bestFit="1" customWidth="1"/>
    <col min="712" max="712" width="42.6640625" bestFit="1" customWidth="1"/>
    <col min="713" max="713" width="20.6640625" bestFit="1" customWidth="1"/>
    <col min="714" max="714" width="40.33203125" bestFit="1" customWidth="1"/>
    <col min="715" max="715" width="32" bestFit="1" customWidth="1"/>
    <col min="716" max="716" width="30.83203125" bestFit="1" customWidth="1"/>
    <col min="717" max="717" width="37.33203125" bestFit="1" customWidth="1"/>
    <col min="718" max="718" width="33.1640625" bestFit="1" customWidth="1"/>
    <col min="719" max="719" width="30.1640625" bestFit="1" customWidth="1"/>
    <col min="720" max="720" width="34.83203125" bestFit="1" customWidth="1"/>
    <col min="721" max="721" width="17.33203125" bestFit="1" customWidth="1"/>
    <col min="722" max="722" width="34.6640625" bestFit="1" customWidth="1"/>
    <col min="723" max="723" width="24" bestFit="1" customWidth="1"/>
    <col min="724" max="724" width="34.83203125" bestFit="1" customWidth="1"/>
    <col min="725" max="725" width="47.33203125" bestFit="1" customWidth="1"/>
    <col min="726" max="726" width="34.5" bestFit="1" customWidth="1"/>
    <col min="727" max="727" width="27.6640625" bestFit="1" customWidth="1"/>
    <col min="728" max="728" width="45.33203125" bestFit="1" customWidth="1"/>
    <col min="729" max="729" width="63.6640625" bestFit="1" customWidth="1"/>
    <col min="730" max="730" width="32.83203125" bestFit="1" customWidth="1"/>
    <col min="731" max="731" width="31.5" bestFit="1" customWidth="1"/>
    <col min="732" max="732" width="33.6640625" bestFit="1" customWidth="1"/>
    <col min="733" max="733" width="28.6640625" bestFit="1" customWidth="1"/>
    <col min="734" max="734" width="31.33203125" bestFit="1" customWidth="1"/>
    <col min="735" max="735" width="45.5" bestFit="1" customWidth="1"/>
    <col min="736" max="736" width="44.83203125" bestFit="1" customWidth="1"/>
    <col min="737" max="737" width="40.1640625" bestFit="1" customWidth="1"/>
    <col min="738" max="738" width="23.6640625" bestFit="1" customWidth="1"/>
    <col min="739" max="739" width="56" bestFit="1" customWidth="1"/>
    <col min="740" max="740" width="82.5" bestFit="1" customWidth="1"/>
    <col min="741" max="741" width="64.83203125" bestFit="1" customWidth="1"/>
    <col min="742" max="742" width="54.6640625" bestFit="1" customWidth="1"/>
    <col min="743" max="743" width="26.83203125" bestFit="1" customWidth="1"/>
    <col min="744" max="744" width="66.33203125" bestFit="1" customWidth="1"/>
    <col min="745" max="745" width="67.33203125" bestFit="1" customWidth="1"/>
    <col min="746" max="746" width="100.83203125" bestFit="1" customWidth="1"/>
    <col min="747" max="747" width="51.5" bestFit="1" customWidth="1"/>
    <col min="748" max="748" width="48.83203125" bestFit="1" customWidth="1"/>
    <col min="749" max="749" width="66.33203125" bestFit="1" customWidth="1"/>
    <col min="750" max="750" width="38.6640625" bestFit="1" customWidth="1"/>
    <col min="751" max="751" width="39.1640625" bestFit="1" customWidth="1"/>
    <col min="752" max="752" width="49.33203125" bestFit="1" customWidth="1"/>
    <col min="753" max="753" width="44.83203125" bestFit="1" customWidth="1"/>
    <col min="754" max="754" width="34" bestFit="1" customWidth="1"/>
    <col min="755" max="755" width="56.33203125" bestFit="1" customWidth="1"/>
    <col min="756" max="756" width="30.6640625" bestFit="1" customWidth="1"/>
    <col min="757" max="757" width="63.33203125" bestFit="1" customWidth="1"/>
    <col min="758" max="758" width="44.5" bestFit="1" customWidth="1"/>
    <col min="759" max="759" width="76.1640625" bestFit="1" customWidth="1"/>
    <col min="760" max="760" width="51.1640625" bestFit="1" customWidth="1"/>
    <col min="761" max="761" width="76.6640625" bestFit="1" customWidth="1"/>
    <col min="762" max="762" width="37.33203125" bestFit="1" customWidth="1"/>
    <col min="763" max="763" width="50.5" bestFit="1" customWidth="1"/>
    <col min="764" max="764" width="28" bestFit="1" customWidth="1"/>
    <col min="765" max="765" width="53.5" bestFit="1" customWidth="1"/>
    <col min="766" max="766" width="42" bestFit="1" customWidth="1"/>
    <col min="767" max="767" width="43.5" bestFit="1" customWidth="1"/>
    <col min="768" max="768" width="61" bestFit="1" customWidth="1"/>
    <col min="769" max="769" width="31.83203125" bestFit="1" customWidth="1"/>
    <col min="770" max="770" width="59.6640625" bestFit="1" customWidth="1"/>
    <col min="771" max="771" width="47.33203125" bestFit="1" customWidth="1"/>
    <col min="772" max="772" width="45.33203125" bestFit="1" customWidth="1"/>
    <col min="773" max="773" width="46.33203125" bestFit="1" customWidth="1"/>
    <col min="774" max="774" width="66.33203125" bestFit="1" customWidth="1"/>
    <col min="775" max="775" width="62.33203125" bestFit="1" customWidth="1"/>
    <col min="776" max="776" width="39" bestFit="1" customWidth="1"/>
    <col min="777" max="777" width="28.5" bestFit="1" customWidth="1"/>
    <col min="778" max="778" width="45.5" bestFit="1" customWidth="1"/>
    <col min="779" max="779" width="76.1640625" bestFit="1" customWidth="1"/>
    <col min="780" max="780" width="67" bestFit="1" customWidth="1"/>
    <col min="781" max="781" width="64.33203125" bestFit="1" customWidth="1"/>
    <col min="782" max="782" width="85.1640625" bestFit="1" customWidth="1"/>
    <col min="783" max="783" width="47.6640625" bestFit="1" customWidth="1"/>
    <col min="784" max="784" width="45.83203125" bestFit="1" customWidth="1"/>
    <col min="785" max="785" width="54.33203125" bestFit="1" customWidth="1"/>
    <col min="786" max="786" width="65" bestFit="1" customWidth="1"/>
    <col min="787" max="787" width="48.33203125" bestFit="1" customWidth="1"/>
    <col min="788" max="788" width="53.6640625" bestFit="1" customWidth="1"/>
    <col min="789" max="789" width="40" bestFit="1" customWidth="1"/>
    <col min="790" max="790" width="56.1640625" bestFit="1" customWidth="1"/>
    <col min="791" max="791" width="69.6640625" bestFit="1" customWidth="1"/>
    <col min="792" max="792" width="77.33203125" bestFit="1" customWidth="1"/>
    <col min="793" max="793" width="73.83203125" bestFit="1" customWidth="1"/>
    <col min="794" max="794" width="92.5" bestFit="1" customWidth="1"/>
    <col min="795" max="795" width="69.6640625" bestFit="1" customWidth="1"/>
    <col min="796" max="796" width="25.1640625" bestFit="1" customWidth="1"/>
    <col min="797" max="797" width="37" bestFit="1" customWidth="1"/>
    <col min="798" max="798" width="40.5" bestFit="1" customWidth="1"/>
    <col min="799" max="799" width="31.5" bestFit="1" customWidth="1"/>
    <col min="800" max="800" width="54.5" bestFit="1" customWidth="1"/>
    <col min="801" max="801" width="67.1640625" bestFit="1" customWidth="1"/>
    <col min="802" max="802" width="71.83203125" bestFit="1" customWidth="1"/>
    <col min="803" max="803" width="71.5" bestFit="1" customWidth="1"/>
    <col min="804" max="804" width="77.6640625" bestFit="1" customWidth="1"/>
    <col min="805" max="805" width="59.1640625" bestFit="1" customWidth="1"/>
    <col min="806" max="806" width="40.5" bestFit="1" customWidth="1"/>
    <col min="807" max="807" width="20.83203125" bestFit="1" customWidth="1"/>
    <col min="808" max="808" width="35.33203125" bestFit="1" customWidth="1"/>
    <col min="809" max="809" width="39.83203125" bestFit="1" customWidth="1"/>
    <col min="810" max="810" width="75" bestFit="1" customWidth="1"/>
    <col min="811" max="811" width="48" bestFit="1" customWidth="1"/>
    <col min="812" max="812" width="48.33203125" bestFit="1" customWidth="1"/>
    <col min="813" max="813" width="51.6640625" bestFit="1" customWidth="1"/>
    <col min="814" max="814" width="80" bestFit="1" customWidth="1"/>
    <col min="815" max="815" width="78.83203125" bestFit="1" customWidth="1"/>
    <col min="816" max="816" width="40.83203125" bestFit="1" customWidth="1"/>
    <col min="817" max="817" width="35.33203125" bestFit="1" customWidth="1"/>
    <col min="818" max="818" width="48.83203125" bestFit="1" customWidth="1"/>
    <col min="819" max="819" width="80.33203125" bestFit="1" customWidth="1"/>
    <col min="820" max="820" width="38.83203125" bestFit="1" customWidth="1"/>
    <col min="821" max="821" width="58.33203125" bestFit="1" customWidth="1"/>
    <col min="822" max="822" width="21.5" bestFit="1" customWidth="1"/>
    <col min="823" max="823" width="31.33203125" bestFit="1" customWidth="1"/>
    <col min="824" max="824" width="36.6640625" bestFit="1" customWidth="1"/>
    <col min="825" max="825" width="30.1640625" bestFit="1" customWidth="1"/>
    <col min="826" max="826" width="40.5" bestFit="1" customWidth="1"/>
    <col min="827" max="827" width="27.33203125" bestFit="1" customWidth="1"/>
    <col min="828" max="828" width="27.6640625" bestFit="1" customWidth="1"/>
    <col min="829" max="829" width="93.5" bestFit="1" customWidth="1"/>
    <col min="830" max="830" width="55.1640625" bestFit="1" customWidth="1"/>
    <col min="831" max="831" width="41" bestFit="1" customWidth="1"/>
    <col min="832" max="832" width="46" bestFit="1" customWidth="1"/>
    <col min="833" max="833" width="72.6640625" bestFit="1" customWidth="1"/>
    <col min="834" max="834" width="45.1640625" bestFit="1" customWidth="1"/>
    <col min="835" max="835" width="53.33203125" bestFit="1" customWidth="1"/>
    <col min="836" max="836" width="54.5" bestFit="1" customWidth="1"/>
    <col min="837" max="837" width="49.33203125" bestFit="1" customWidth="1"/>
    <col min="838" max="838" width="50.83203125" bestFit="1" customWidth="1"/>
    <col min="839" max="839" width="64.33203125" bestFit="1" customWidth="1"/>
    <col min="840" max="840" width="48.6640625" bestFit="1" customWidth="1"/>
    <col min="841" max="841" width="58.6640625" bestFit="1" customWidth="1"/>
    <col min="842" max="842" width="46.1640625" bestFit="1" customWidth="1"/>
    <col min="843" max="843" width="44.83203125" bestFit="1" customWidth="1"/>
    <col min="844" max="844" width="29.6640625" bestFit="1" customWidth="1"/>
    <col min="845" max="845" width="42.5" bestFit="1" customWidth="1"/>
    <col min="846" max="846" width="41.5" bestFit="1" customWidth="1"/>
    <col min="847" max="847" width="43.5" bestFit="1" customWidth="1"/>
    <col min="848" max="848" width="53.5" bestFit="1" customWidth="1"/>
    <col min="849" max="849" width="42.6640625" bestFit="1" customWidth="1"/>
    <col min="850" max="850" width="50.1640625" bestFit="1" customWidth="1"/>
    <col min="851" max="851" width="27.5" bestFit="1" customWidth="1"/>
    <col min="852" max="852" width="45.1640625" bestFit="1" customWidth="1"/>
    <col min="853" max="853" width="42.83203125" bestFit="1" customWidth="1"/>
    <col min="854" max="854" width="63.5" bestFit="1" customWidth="1"/>
    <col min="855" max="855" width="92.33203125" bestFit="1" customWidth="1"/>
    <col min="856" max="856" width="51" bestFit="1" customWidth="1"/>
    <col min="857" max="857" width="45.5" bestFit="1" customWidth="1"/>
    <col min="858" max="858" width="48.5" bestFit="1" customWidth="1"/>
    <col min="859" max="859" width="84.6640625" bestFit="1" customWidth="1"/>
    <col min="860" max="860" width="51.1640625" bestFit="1" customWidth="1"/>
    <col min="861" max="861" width="59.1640625" bestFit="1" customWidth="1"/>
    <col min="862" max="862" width="27.5" bestFit="1" customWidth="1"/>
    <col min="863" max="863" width="39.6640625" bestFit="1" customWidth="1"/>
    <col min="864" max="864" width="42.83203125" bestFit="1" customWidth="1"/>
    <col min="865" max="865" width="55.5" bestFit="1" customWidth="1"/>
    <col min="866" max="866" width="44.5" bestFit="1" customWidth="1"/>
    <col min="867" max="867" width="66.5" bestFit="1" customWidth="1"/>
    <col min="868" max="868" width="23.33203125" bestFit="1" customWidth="1"/>
    <col min="869" max="869" width="35.1640625" bestFit="1" customWidth="1"/>
    <col min="870" max="870" width="46.5" bestFit="1" customWidth="1"/>
    <col min="871" max="871" width="57.5" bestFit="1" customWidth="1"/>
    <col min="872" max="872" width="59.6640625" bestFit="1" customWidth="1"/>
    <col min="873" max="873" width="64.1640625" bestFit="1" customWidth="1"/>
    <col min="874" max="874" width="31.1640625" bestFit="1" customWidth="1"/>
    <col min="875" max="875" width="52.5" bestFit="1" customWidth="1"/>
    <col min="876" max="876" width="47.83203125" bestFit="1" customWidth="1"/>
    <col min="877" max="877" width="9.5" bestFit="1" customWidth="1"/>
    <col min="878" max="878" width="24.1640625" bestFit="1" customWidth="1"/>
    <col min="879" max="879" width="34.6640625" bestFit="1" customWidth="1"/>
    <col min="880" max="880" width="43" bestFit="1" customWidth="1"/>
    <col min="881" max="881" width="34" bestFit="1" customWidth="1"/>
    <col min="882" max="882" width="30.83203125" bestFit="1" customWidth="1"/>
    <col min="883" max="883" width="21" bestFit="1" customWidth="1"/>
    <col min="884" max="884" width="25.6640625" bestFit="1" customWidth="1"/>
    <col min="885" max="885" width="23.6640625" bestFit="1" customWidth="1"/>
    <col min="886" max="886" width="30.83203125" bestFit="1" customWidth="1"/>
    <col min="887" max="887" width="38.33203125" bestFit="1" customWidth="1"/>
    <col min="888" max="888" width="21.1640625" bestFit="1" customWidth="1"/>
    <col min="889" max="889" width="30.5" bestFit="1" customWidth="1"/>
    <col min="890" max="890" width="33.5" bestFit="1" customWidth="1"/>
    <col min="891" max="891" width="37.33203125" bestFit="1" customWidth="1"/>
    <col min="892" max="892" width="22" bestFit="1" customWidth="1"/>
    <col min="893" max="893" width="24.33203125" bestFit="1" customWidth="1"/>
    <col min="894" max="894" width="29.1640625" bestFit="1" customWidth="1"/>
    <col min="895" max="895" width="38.1640625" bestFit="1" customWidth="1"/>
    <col min="896" max="896" width="44.83203125" bestFit="1" customWidth="1"/>
    <col min="897" max="897" width="55.33203125" bestFit="1" customWidth="1"/>
    <col min="898" max="898" width="39" bestFit="1" customWidth="1"/>
    <col min="899" max="899" width="40.6640625" bestFit="1" customWidth="1"/>
    <col min="900" max="900" width="20.83203125" bestFit="1" customWidth="1"/>
    <col min="901" max="901" width="37.1640625" bestFit="1" customWidth="1"/>
    <col min="902" max="902" width="27.33203125" bestFit="1" customWidth="1"/>
    <col min="903" max="903" width="53.83203125" bestFit="1" customWidth="1"/>
    <col min="904" max="904" width="88.33203125" bestFit="1" customWidth="1"/>
    <col min="905" max="905" width="32.1640625" bestFit="1" customWidth="1"/>
    <col min="906" max="906" width="69.6640625" bestFit="1" customWidth="1"/>
    <col min="907" max="907" width="95.83203125" bestFit="1" customWidth="1"/>
    <col min="908" max="908" width="42.83203125" bestFit="1" customWidth="1"/>
    <col min="909" max="909" width="60.33203125" bestFit="1" customWidth="1"/>
    <col min="910" max="910" width="59.1640625" bestFit="1" customWidth="1"/>
    <col min="911" max="911" width="63" bestFit="1" customWidth="1"/>
    <col min="912" max="912" width="66" bestFit="1" customWidth="1"/>
    <col min="913" max="913" width="97" bestFit="1" customWidth="1"/>
    <col min="914" max="914" width="16.5" bestFit="1" customWidth="1"/>
    <col min="915" max="915" width="27.33203125" bestFit="1" customWidth="1"/>
    <col min="916" max="916" width="56.5" bestFit="1" customWidth="1"/>
    <col min="917" max="917" width="42.6640625" bestFit="1" customWidth="1"/>
    <col min="918" max="918" width="32.83203125" bestFit="1" customWidth="1"/>
    <col min="919" max="919" width="30.6640625" bestFit="1" customWidth="1"/>
    <col min="920" max="920" width="53.6640625" bestFit="1" customWidth="1"/>
    <col min="921" max="921" width="41.5" bestFit="1" customWidth="1"/>
    <col min="922" max="922" width="49.5" bestFit="1" customWidth="1"/>
    <col min="923" max="923" width="52.1640625" bestFit="1" customWidth="1"/>
    <col min="924" max="924" width="53.6640625" bestFit="1" customWidth="1"/>
    <col min="925" max="925" width="56.5" bestFit="1" customWidth="1"/>
    <col min="926" max="926" width="41.33203125" bestFit="1" customWidth="1"/>
    <col min="927" max="927" width="34.33203125" bestFit="1" customWidth="1"/>
    <col min="928" max="928" width="79.1640625" bestFit="1" customWidth="1"/>
    <col min="929" max="929" width="20.33203125" bestFit="1" customWidth="1"/>
    <col min="930" max="930" width="66" bestFit="1" customWidth="1"/>
    <col min="931" max="931" width="48.33203125" bestFit="1" customWidth="1"/>
    <col min="932" max="932" width="42.5" bestFit="1" customWidth="1"/>
    <col min="933" max="933" width="26.1640625" bestFit="1" customWidth="1"/>
    <col min="934" max="934" width="53.33203125" bestFit="1" customWidth="1"/>
    <col min="935" max="935" width="45.1640625" bestFit="1" customWidth="1"/>
    <col min="936" max="936" width="51.83203125" bestFit="1" customWidth="1"/>
    <col min="937" max="937" width="62" bestFit="1" customWidth="1"/>
    <col min="938" max="938" width="61" bestFit="1" customWidth="1"/>
    <col min="939" max="939" width="49" bestFit="1" customWidth="1"/>
    <col min="940" max="940" width="50.5" bestFit="1" customWidth="1"/>
    <col min="941" max="941" width="21.83203125" bestFit="1" customWidth="1"/>
    <col min="942" max="942" width="43.83203125" bestFit="1" customWidth="1"/>
    <col min="943" max="943" width="48.6640625" bestFit="1" customWidth="1"/>
    <col min="944" max="944" width="48.5" bestFit="1" customWidth="1"/>
    <col min="945" max="945" width="56" bestFit="1" customWidth="1"/>
    <col min="946" max="946" width="43" bestFit="1" customWidth="1"/>
    <col min="947" max="947" width="53.1640625" bestFit="1" customWidth="1"/>
    <col min="948" max="948" width="34.1640625" bestFit="1" customWidth="1"/>
    <col min="949" max="949" width="25.83203125" bestFit="1" customWidth="1"/>
    <col min="950" max="950" width="37.33203125" bestFit="1" customWidth="1"/>
    <col min="951" max="951" width="30.6640625" bestFit="1" customWidth="1"/>
    <col min="952" max="952" width="59.33203125" bestFit="1" customWidth="1"/>
    <col min="953" max="953" width="69.83203125" bestFit="1" customWidth="1"/>
    <col min="954" max="954" width="24.83203125" bestFit="1" customWidth="1"/>
    <col min="955" max="955" width="39.6640625" bestFit="1" customWidth="1"/>
    <col min="956" max="956" width="61" bestFit="1" customWidth="1"/>
    <col min="957" max="957" width="44.33203125" bestFit="1" customWidth="1"/>
    <col min="958" max="958" width="73.33203125" bestFit="1" customWidth="1"/>
    <col min="959" max="959" width="16" bestFit="1" customWidth="1"/>
    <col min="960" max="960" width="66.1640625" bestFit="1" customWidth="1"/>
    <col min="961" max="961" width="73.1640625" bestFit="1" customWidth="1"/>
    <col min="962" max="962" width="89.5" bestFit="1" customWidth="1"/>
    <col min="963" max="963" width="62.1640625" bestFit="1" customWidth="1"/>
    <col min="964" max="964" width="37.1640625" bestFit="1" customWidth="1"/>
    <col min="965" max="965" width="20" bestFit="1" customWidth="1"/>
    <col min="966" max="966" width="47.6640625" bestFit="1" customWidth="1"/>
    <col min="967" max="967" width="45.83203125" bestFit="1" customWidth="1"/>
    <col min="968" max="968" width="63.6640625" bestFit="1" customWidth="1"/>
    <col min="969" max="969" width="72" bestFit="1" customWidth="1"/>
    <col min="970" max="970" width="66.1640625" bestFit="1" customWidth="1"/>
    <col min="971" max="971" width="76.6640625" bestFit="1" customWidth="1"/>
    <col min="972" max="972" width="85.33203125" bestFit="1" customWidth="1"/>
    <col min="973" max="973" width="61.33203125" bestFit="1" customWidth="1"/>
    <col min="974" max="974" width="49.6640625" bestFit="1" customWidth="1"/>
    <col min="975" max="975" width="25" bestFit="1" customWidth="1"/>
    <col min="976" max="976" width="65" bestFit="1" customWidth="1"/>
    <col min="977" max="977" width="53.33203125" bestFit="1" customWidth="1"/>
    <col min="978" max="978" width="63.83203125" bestFit="1" customWidth="1"/>
    <col min="979" max="979" width="45" bestFit="1" customWidth="1"/>
    <col min="980" max="980" width="49.1640625" bestFit="1" customWidth="1"/>
    <col min="981" max="981" width="24.83203125" bestFit="1" customWidth="1"/>
    <col min="982" max="982" width="23.1640625" bestFit="1" customWidth="1"/>
    <col min="983" max="983" width="35" bestFit="1" customWidth="1"/>
    <col min="984" max="984" width="39.83203125" bestFit="1" customWidth="1"/>
    <col min="985" max="985" width="37.5" bestFit="1" customWidth="1"/>
    <col min="986" max="986" width="72.33203125" bestFit="1" customWidth="1"/>
    <col min="987" max="987" width="64.1640625" bestFit="1" customWidth="1"/>
    <col min="988" max="988" width="69.6640625" bestFit="1" customWidth="1"/>
    <col min="989" max="989" width="59.1640625" bestFit="1" customWidth="1"/>
    <col min="990" max="990" width="78.6640625" bestFit="1" customWidth="1"/>
    <col min="991" max="991" width="10.5" bestFit="1" customWidth="1"/>
  </cols>
  <sheetData>
    <row r="3" spans="1:5" x14ac:dyDescent="0.2">
      <c r="A3" s="1" t="s">
        <v>2994</v>
      </c>
      <c r="B3" t="s">
        <v>3000</v>
      </c>
      <c r="C3" t="s">
        <v>2997</v>
      </c>
      <c r="D3" t="s">
        <v>3003</v>
      </c>
      <c r="E3" t="s">
        <v>3004</v>
      </c>
    </row>
    <row r="4" spans="1:5" x14ac:dyDescent="0.2">
      <c r="A4" s="2" t="s">
        <v>42</v>
      </c>
      <c r="B4" s="5">
        <v>8</v>
      </c>
      <c r="C4" s="5">
        <v>2</v>
      </c>
      <c r="D4" s="6">
        <v>1</v>
      </c>
      <c r="E4" s="5">
        <v>12</v>
      </c>
    </row>
    <row r="5" spans="1:5" x14ac:dyDescent="0.2">
      <c r="A5" s="2" t="s">
        <v>11</v>
      </c>
      <c r="B5" s="5">
        <v>12</v>
      </c>
      <c r="C5" s="5">
        <v>2</v>
      </c>
      <c r="D5" s="6">
        <v>0.5</v>
      </c>
      <c r="E5" s="5">
        <v>12</v>
      </c>
    </row>
    <row r="6" spans="1:5" x14ac:dyDescent="0.2">
      <c r="A6" s="2" t="s">
        <v>104</v>
      </c>
      <c r="B6" s="5">
        <v>8</v>
      </c>
      <c r="C6" s="5">
        <v>2</v>
      </c>
      <c r="D6" s="6">
        <v>0.25</v>
      </c>
      <c r="E6" s="5">
        <v>12</v>
      </c>
    </row>
    <row r="7" spans="1:5" x14ac:dyDescent="0.2">
      <c r="A7" s="2" t="s">
        <v>2995</v>
      </c>
      <c r="B7" s="5">
        <v>28</v>
      </c>
      <c r="C7" s="5">
        <v>6</v>
      </c>
      <c r="D7" s="6">
        <v>0.5714285714285714</v>
      </c>
      <c r="E7" s="5">
        <v>12</v>
      </c>
    </row>
    <row r="27" spans="1:17" x14ac:dyDescent="0.2">
      <c r="H27" s="1" t="s">
        <v>2996</v>
      </c>
    </row>
    <row r="28" spans="1:17" x14ac:dyDescent="0.2">
      <c r="H28" t="s">
        <v>80</v>
      </c>
      <c r="J28" t="s">
        <v>8</v>
      </c>
      <c r="L28" t="s">
        <v>39</v>
      </c>
      <c r="N28" t="s">
        <v>22</v>
      </c>
      <c r="P28" t="s">
        <v>3002</v>
      </c>
      <c r="Q28" t="s">
        <v>3001</v>
      </c>
    </row>
    <row r="29" spans="1:17" x14ac:dyDescent="0.2">
      <c r="A29" s="1" t="s">
        <v>2994</v>
      </c>
      <c r="B29" t="s">
        <v>3004</v>
      </c>
      <c r="C29" t="s">
        <v>3003</v>
      </c>
      <c r="D29" t="s">
        <v>2997</v>
      </c>
      <c r="E29" t="s">
        <v>3000</v>
      </c>
      <c r="G29" s="1" t="s">
        <v>2994</v>
      </c>
      <c r="H29" t="s">
        <v>3003</v>
      </c>
      <c r="I29" t="s">
        <v>3000</v>
      </c>
      <c r="J29" t="s">
        <v>3003</v>
      </c>
      <c r="K29" t="s">
        <v>3000</v>
      </c>
      <c r="L29" t="s">
        <v>3003</v>
      </c>
      <c r="M29" t="s">
        <v>3000</v>
      </c>
      <c r="N29" t="s">
        <v>3003</v>
      </c>
      <c r="O29" t="s">
        <v>3000</v>
      </c>
    </row>
    <row r="30" spans="1:17" x14ac:dyDescent="0.2">
      <c r="A30" s="2" t="s">
        <v>80</v>
      </c>
      <c r="B30" s="5">
        <v>12</v>
      </c>
      <c r="C30" s="6">
        <v>0.66666666666666663</v>
      </c>
      <c r="D30" s="5">
        <v>2</v>
      </c>
      <c r="E30" s="5">
        <v>12</v>
      </c>
      <c r="G30" s="2" t="s">
        <v>42</v>
      </c>
      <c r="H30" s="6">
        <v>1</v>
      </c>
      <c r="I30" s="5">
        <v>4</v>
      </c>
      <c r="J30" s="6"/>
      <c r="K30" s="5"/>
      <c r="L30" s="6">
        <v>1</v>
      </c>
      <c r="M30" s="5">
        <v>4</v>
      </c>
      <c r="N30" s="6"/>
      <c r="O30" s="5"/>
      <c r="P30" s="6">
        <v>1</v>
      </c>
      <c r="Q30" s="5">
        <v>8</v>
      </c>
    </row>
    <row r="31" spans="1:17" x14ac:dyDescent="0.2">
      <c r="A31" s="2" t="s">
        <v>8</v>
      </c>
      <c r="B31" s="5">
        <v>12</v>
      </c>
      <c r="C31" s="6">
        <v>0.5</v>
      </c>
      <c r="D31" s="5">
        <v>1</v>
      </c>
      <c r="E31" s="5">
        <v>4</v>
      </c>
      <c r="G31" s="2" t="s">
        <v>11</v>
      </c>
      <c r="H31" s="6">
        <v>0.5</v>
      </c>
      <c r="I31" s="5">
        <v>8</v>
      </c>
      <c r="J31" s="6">
        <v>0.5</v>
      </c>
      <c r="K31" s="5">
        <v>4</v>
      </c>
      <c r="L31" s="6"/>
      <c r="M31" s="5"/>
      <c r="N31" s="6"/>
      <c r="O31" s="5"/>
      <c r="P31" s="6">
        <v>0.5</v>
      </c>
      <c r="Q31" s="5">
        <v>12</v>
      </c>
    </row>
    <row r="32" spans="1:17" x14ac:dyDescent="0.2">
      <c r="A32" s="2" t="s">
        <v>39</v>
      </c>
      <c r="B32" s="5">
        <v>12</v>
      </c>
      <c r="C32" s="6">
        <v>0.625</v>
      </c>
      <c r="D32" s="5">
        <v>2</v>
      </c>
      <c r="E32" s="5">
        <v>8</v>
      </c>
      <c r="G32" s="2" t="s">
        <v>104</v>
      </c>
      <c r="H32" s="6"/>
      <c r="I32" s="5"/>
      <c r="J32" s="6"/>
      <c r="K32" s="5"/>
      <c r="L32" s="6">
        <v>0.25</v>
      </c>
      <c r="M32" s="5">
        <v>4</v>
      </c>
      <c r="N32" s="6">
        <v>0.25</v>
      </c>
      <c r="O32" s="5">
        <v>4</v>
      </c>
      <c r="P32" s="6">
        <v>0.25</v>
      </c>
      <c r="Q32" s="5">
        <v>8</v>
      </c>
    </row>
    <row r="33" spans="1:17" x14ac:dyDescent="0.2">
      <c r="A33" s="2" t="s">
        <v>22</v>
      </c>
      <c r="B33" s="5">
        <v>12</v>
      </c>
      <c r="C33" s="6">
        <v>0.25</v>
      </c>
      <c r="D33" s="5">
        <v>1</v>
      </c>
      <c r="E33" s="5">
        <v>4</v>
      </c>
      <c r="G33" s="2" t="s">
        <v>2995</v>
      </c>
      <c r="H33" s="6">
        <v>0.66666666666666663</v>
      </c>
      <c r="I33" s="5">
        <v>12</v>
      </c>
      <c r="J33" s="6">
        <v>0.5</v>
      </c>
      <c r="K33" s="5">
        <v>4</v>
      </c>
      <c r="L33" s="6">
        <v>0.625</v>
      </c>
      <c r="M33" s="5">
        <v>8</v>
      </c>
      <c r="N33" s="6">
        <v>0.25</v>
      </c>
      <c r="O33" s="5">
        <v>4</v>
      </c>
      <c r="P33" s="6">
        <v>0.5714285714285714</v>
      </c>
      <c r="Q33" s="5">
        <v>28</v>
      </c>
    </row>
    <row r="34" spans="1:17" x14ac:dyDescent="0.2">
      <c r="A34" s="2" t="s">
        <v>2995</v>
      </c>
      <c r="B34" s="5">
        <v>12</v>
      </c>
      <c r="C34" s="6">
        <v>0.5714285714285714</v>
      </c>
      <c r="D34" s="5">
        <v>6</v>
      </c>
      <c r="E34" s="5">
        <v>28</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D483D-87E1-F343-B3D4-0C096F7251E2}">
  <dimension ref="A3:C5"/>
  <sheetViews>
    <sheetView workbookViewId="0">
      <selection activeCell="A3" sqref="A3"/>
    </sheetView>
  </sheetViews>
  <sheetFormatPr baseColWidth="10" defaultRowHeight="16" x14ac:dyDescent="0.2"/>
  <cols>
    <col min="1" max="1" width="13" bestFit="1" customWidth="1"/>
    <col min="2" max="2" width="21" bestFit="1" customWidth="1"/>
    <col min="3" max="3" width="21.1640625" bestFit="1" customWidth="1"/>
  </cols>
  <sheetData>
    <row r="3" spans="1:3" x14ac:dyDescent="0.2">
      <c r="A3" s="1" t="s">
        <v>2994</v>
      </c>
      <c r="B3" t="s">
        <v>3000</v>
      </c>
      <c r="C3" t="s">
        <v>3003</v>
      </c>
    </row>
    <row r="4" spans="1:3" x14ac:dyDescent="0.2">
      <c r="A4" s="2">
        <v>12</v>
      </c>
      <c r="B4" s="5">
        <v>28</v>
      </c>
      <c r="C4" s="6">
        <v>0.5714285714285714</v>
      </c>
    </row>
    <row r="5" spans="1:3" x14ac:dyDescent="0.2">
      <c r="A5" s="2" t="s">
        <v>2995</v>
      </c>
      <c r="B5" s="5">
        <v>28</v>
      </c>
      <c r="C5" s="6">
        <v>0.5714285714285714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D100-3085-7A4E-A5BB-B21EC3FD2EB4}">
  <dimension ref="A1:I1000"/>
  <sheetViews>
    <sheetView topLeftCell="A2" zoomScale="50" workbookViewId="0">
      <selection sqref="A1:I1000"/>
    </sheetView>
  </sheetViews>
  <sheetFormatPr baseColWidth="10" defaultRowHeight="16" x14ac:dyDescent="0.2"/>
  <cols>
    <col min="1" max="1" width="14.1640625" customWidth="1"/>
    <col min="2" max="2" width="18.5" customWidth="1"/>
    <col min="3" max="3" width="16.83203125" customWidth="1"/>
    <col min="4" max="4" width="120.6640625" bestFit="1" customWidth="1"/>
    <col min="5" max="5" width="102.83203125" bestFit="1" customWidth="1"/>
    <col min="6" max="6" width="19.5" bestFit="1" customWidth="1"/>
    <col min="7" max="7" width="10.1640625" customWidth="1"/>
    <col min="10" max="10" width="13.83203125" bestFit="1" customWidth="1"/>
  </cols>
  <sheetData>
    <row r="1" spans="1:9" x14ac:dyDescent="0.2">
      <c r="A1" t="s">
        <v>0</v>
      </c>
      <c r="B1" t="s">
        <v>1</v>
      </c>
      <c r="C1" t="s">
        <v>2</v>
      </c>
      <c r="D1" t="s">
        <v>3</v>
      </c>
      <c r="E1" t="s">
        <v>4</v>
      </c>
      <c r="F1" t="s">
        <v>5</v>
      </c>
      <c r="G1" t="s">
        <v>6</v>
      </c>
      <c r="H1" t="s">
        <v>2998</v>
      </c>
      <c r="I1" t="s">
        <v>2999</v>
      </c>
    </row>
    <row r="2" spans="1:9" x14ac:dyDescent="0.2">
      <c r="A2" t="s">
        <v>7</v>
      </c>
      <c r="B2">
        <v>2</v>
      </c>
      <c r="C2" t="s">
        <v>8</v>
      </c>
      <c r="D2" t="s">
        <v>9</v>
      </c>
      <c r="E2" t="s">
        <v>10</v>
      </c>
      <c r="F2" t="s">
        <v>11</v>
      </c>
      <c r="G2">
        <v>0</v>
      </c>
      <c r="H2">
        <f>COUNTIF($F$2:$F$100, F2)</f>
        <v>4</v>
      </c>
      <c r="I2" s="6">
        <f t="shared" ref="I2:I65" si="0">SUMIFS($G$2:$G$100, $F$2:$F$100, F2) / COUNTIF($F$2:$F$100, F2)</f>
        <v>0.5</v>
      </c>
    </row>
    <row r="3" spans="1:9" x14ac:dyDescent="0.2">
      <c r="A3" t="s">
        <v>12</v>
      </c>
      <c r="B3">
        <v>9</v>
      </c>
      <c r="C3" t="s">
        <v>13</v>
      </c>
      <c r="D3" t="s">
        <v>14</v>
      </c>
      <c r="E3" t="s">
        <v>15</v>
      </c>
      <c r="F3" t="s">
        <v>16</v>
      </c>
      <c r="G3">
        <v>1</v>
      </c>
      <c r="H3">
        <f t="shared" ref="H2:H65" si="1">COUNTIF($F$2:$F$100, F3)</f>
        <v>5</v>
      </c>
      <c r="I3" s="6">
        <f t="shared" si="0"/>
        <v>0.6</v>
      </c>
    </row>
    <row r="4" spans="1:9" x14ac:dyDescent="0.2">
      <c r="A4" t="s">
        <v>17</v>
      </c>
      <c r="B4">
        <v>0</v>
      </c>
      <c r="C4" t="s">
        <v>13</v>
      </c>
      <c r="D4" t="s">
        <v>18</v>
      </c>
      <c r="E4" t="s">
        <v>19</v>
      </c>
      <c r="F4" t="s">
        <v>20</v>
      </c>
      <c r="G4">
        <v>1</v>
      </c>
      <c r="H4">
        <f t="shared" si="1"/>
        <v>8</v>
      </c>
      <c r="I4" s="6">
        <f t="shared" si="0"/>
        <v>0.5</v>
      </c>
    </row>
    <row r="5" spans="1:9" x14ac:dyDescent="0.2">
      <c r="A5" t="s">
        <v>21</v>
      </c>
      <c r="B5">
        <v>2</v>
      </c>
      <c r="C5" t="s">
        <v>22</v>
      </c>
      <c r="D5" t="s">
        <v>23</v>
      </c>
      <c r="E5" t="s">
        <v>24</v>
      </c>
      <c r="F5" t="s">
        <v>25</v>
      </c>
      <c r="G5">
        <v>1</v>
      </c>
      <c r="H5">
        <f t="shared" si="1"/>
        <v>7</v>
      </c>
      <c r="I5" s="6">
        <f t="shared" si="0"/>
        <v>0.7142857142857143</v>
      </c>
    </row>
    <row r="6" spans="1:9" x14ac:dyDescent="0.2">
      <c r="A6" t="s">
        <v>26</v>
      </c>
      <c r="B6">
        <v>8</v>
      </c>
      <c r="C6" t="s">
        <v>22</v>
      </c>
      <c r="D6" t="s">
        <v>27</v>
      </c>
      <c r="E6" t="s">
        <v>28</v>
      </c>
      <c r="F6" t="s">
        <v>29</v>
      </c>
      <c r="G6">
        <v>1</v>
      </c>
      <c r="H6">
        <f t="shared" si="1"/>
        <v>8</v>
      </c>
      <c r="I6" s="6">
        <f t="shared" si="0"/>
        <v>0.875</v>
      </c>
    </row>
    <row r="7" spans="1:9" x14ac:dyDescent="0.2">
      <c r="A7" t="s">
        <v>30</v>
      </c>
      <c r="B7">
        <v>9</v>
      </c>
      <c r="C7" t="s">
        <v>8</v>
      </c>
      <c r="D7" t="s">
        <v>31</v>
      </c>
      <c r="E7" t="s">
        <v>32</v>
      </c>
      <c r="F7" t="s">
        <v>33</v>
      </c>
      <c r="G7">
        <v>1</v>
      </c>
      <c r="H7">
        <f t="shared" si="1"/>
        <v>4</v>
      </c>
      <c r="I7" s="6">
        <f t="shared" si="0"/>
        <v>0.5</v>
      </c>
    </row>
    <row r="8" spans="1:9" x14ac:dyDescent="0.2">
      <c r="A8" t="s">
        <v>34</v>
      </c>
      <c r="B8">
        <v>1</v>
      </c>
      <c r="C8" t="s">
        <v>8</v>
      </c>
      <c r="D8" t="s">
        <v>35</v>
      </c>
      <c r="E8" t="s">
        <v>36</v>
      </c>
      <c r="F8" t="s">
        <v>37</v>
      </c>
      <c r="G8">
        <v>1</v>
      </c>
      <c r="H8">
        <f t="shared" si="1"/>
        <v>8</v>
      </c>
      <c r="I8" s="6">
        <f t="shared" si="0"/>
        <v>0.625</v>
      </c>
    </row>
    <row r="9" spans="1:9" x14ac:dyDescent="0.2">
      <c r="A9" t="s">
        <v>38</v>
      </c>
      <c r="B9">
        <v>5</v>
      </c>
      <c r="C9" t="s">
        <v>39</v>
      </c>
      <c r="D9" t="s">
        <v>40</v>
      </c>
      <c r="E9" t="s">
        <v>41</v>
      </c>
      <c r="F9" t="s">
        <v>42</v>
      </c>
      <c r="G9">
        <v>1</v>
      </c>
      <c r="H9">
        <f t="shared" si="1"/>
        <v>4</v>
      </c>
      <c r="I9" s="6">
        <f t="shared" si="0"/>
        <v>1</v>
      </c>
    </row>
    <row r="10" spans="1:9" x14ac:dyDescent="0.2">
      <c r="A10" t="s">
        <v>43</v>
      </c>
      <c r="B10">
        <v>5</v>
      </c>
      <c r="C10" t="s">
        <v>22</v>
      </c>
      <c r="D10" t="s">
        <v>44</v>
      </c>
      <c r="E10" t="s">
        <v>45</v>
      </c>
      <c r="F10" t="s">
        <v>46</v>
      </c>
      <c r="G10">
        <v>0</v>
      </c>
      <c r="H10">
        <f t="shared" si="1"/>
        <v>3</v>
      </c>
      <c r="I10" s="6">
        <f t="shared" si="0"/>
        <v>0.66666666666666663</v>
      </c>
    </row>
    <row r="11" spans="1:9" x14ac:dyDescent="0.2">
      <c r="A11" t="s">
        <v>47</v>
      </c>
      <c r="B11">
        <v>3</v>
      </c>
      <c r="C11" t="s">
        <v>8</v>
      </c>
      <c r="D11" t="s">
        <v>48</v>
      </c>
      <c r="E11" t="s">
        <v>49</v>
      </c>
      <c r="F11" t="s">
        <v>50</v>
      </c>
      <c r="G11">
        <v>1</v>
      </c>
      <c r="H11">
        <f t="shared" si="1"/>
        <v>2</v>
      </c>
      <c r="I11" s="6">
        <f t="shared" si="0"/>
        <v>0.5</v>
      </c>
    </row>
    <row r="12" spans="1:9" x14ac:dyDescent="0.2">
      <c r="A12" t="s">
        <v>51</v>
      </c>
      <c r="B12">
        <v>0</v>
      </c>
      <c r="C12" t="s">
        <v>39</v>
      </c>
      <c r="D12" t="s">
        <v>52</v>
      </c>
      <c r="E12" t="s">
        <v>53</v>
      </c>
      <c r="F12" t="s">
        <v>54</v>
      </c>
      <c r="G12">
        <v>0</v>
      </c>
      <c r="H12">
        <f t="shared" si="1"/>
        <v>11</v>
      </c>
      <c r="I12" s="6">
        <f t="shared" si="0"/>
        <v>0.63636363636363635</v>
      </c>
    </row>
    <row r="13" spans="1:9" x14ac:dyDescent="0.2">
      <c r="A13" t="s">
        <v>55</v>
      </c>
      <c r="B13">
        <v>4</v>
      </c>
      <c r="C13" t="s">
        <v>8</v>
      </c>
      <c r="D13" t="s">
        <v>56</v>
      </c>
      <c r="E13" t="s">
        <v>57</v>
      </c>
      <c r="F13" t="s">
        <v>58</v>
      </c>
      <c r="G13">
        <v>1</v>
      </c>
      <c r="H13">
        <f t="shared" si="1"/>
        <v>2</v>
      </c>
      <c r="I13" s="6">
        <f t="shared" si="0"/>
        <v>1</v>
      </c>
    </row>
    <row r="14" spans="1:9" x14ac:dyDescent="0.2">
      <c r="A14" t="s">
        <v>59</v>
      </c>
      <c r="B14">
        <v>0</v>
      </c>
      <c r="C14" t="s">
        <v>8</v>
      </c>
      <c r="D14" t="s">
        <v>60</v>
      </c>
      <c r="E14" t="s">
        <v>61</v>
      </c>
      <c r="F14" t="s">
        <v>62</v>
      </c>
      <c r="G14">
        <v>1</v>
      </c>
      <c r="H14">
        <f t="shared" si="1"/>
        <v>6</v>
      </c>
      <c r="I14" s="6">
        <f t="shared" si="0"/>
        <v>0.5</v>
      </c>
    </row>
    <row r="15" spans="1:9" x14ac:dyDescent="0.2">
      <c r="A15" t="s">
        <v>63</v>
      </c>
      <c r="B15">
        <v>0</v>
      </c>
      <c r="C15" t="s">
        <v>22</v>
      </c>
      <c r="D15" t="s">
        <v>64</v>
      </c>
      <c r="E15" t="s">
        <v>65</v>
      </c>
      <c r="F15" t="s">
        <v>29</v>
      </c>
      <c r="G15">
        <v>1</v>
      </c>
      <c r="H15">
        <f t="shared" si="1"/>
        <v>8</v>
      </c>
      <c r="I15" s="6">
        <f t="shared" si="0"/>
        <v>0.875</v>
      </c>
    </row>
    <row r="16" spans="1:9" x14ac:dyDescent="0.2">
      <c r="A16" t="s">
        <v>66</v>
      </c>
      <c r="B16">
        <v>2</v>
      </c>
      <c r="C16" t="s">
        <v>22</v>
      </c>
      <c r="D16" t="s">
        <v>67</v>
      </c>
      <c r="E16" t="s">
        <v>68</v>
      </c>
      <c r="F16" t="s">
        <v>33</v>
      </c>
      <c r="G16">
        <v>0</v>
      </c>
      <c r="H16">
        <f t="shared" si="1"/>
        <v>4</v>
      </c>
      <c r="I16" s="6">
        <f t="shared" si="0"/>
        <v>0.5</v>
      </c>
    </row>
    <row r="17" spans="1:9" x14ac:dyDescent="0.2">
      <c r="A17" t="s">
        <v>69</v>
      </c>
      <c r="B17">
        <v>0</v>
      </c>
      <c r="C17" t="s">
        <v>13</v>
      </c>
      <c r="D17" t="s">
        <v>70</v>
      </c>
      <c r="E17" t="s">
        <v>71</v>
      </c>
      <c r="F17" t="s">
        <v>72</v>
      </c>
      <c r="G17">
        <v>1</v>
      </c>
      <c r="H17">
        <f t="shared" si="1"/>
        <v>4</v>
      </c>
      <c r="I17" s="6">
        <f t="shared" si="0"/>
        <v>0.5</v>
      </c>
    </row>
    <row r="18" spans="1:9" x14ac:dyDescent="0.2">
      <c r="A18" t="s">
        <v>73</v>
      </c>
      <c r="B18">
        <v>1</v>
      </c>
      <c r="C18" t="s">
        <v>22</v>
      </c>
      <c r="D18" t="s">
        <v>74</v>
      </c>
      <c r="E18" t="s">
        <v>75</v>
      </c>
      <c r="F18" t="s">
        <v>54</v>
      </c>
      <c r="G18">
        <v>0</v>
      </c>
      <c r="H18">
        <f t="shared" si="1"/>
        <v>11</v>
      </c>
      <c r="I18" s="6">
        <f t="shared" si="0"/>
        <v>0.63636363636363635</v>
      </c>
    </row>
    <row r="19" spans="1:9" x14ac:dyDescent="0.2">
      <c r="A19" t="s">
        <v>76</v>
      </c>
      <c r="B19">
        <v>0</v>
      </c>
      <c r="C19" t="s">
        <v>22</v>
      </c>
      <c r="D19" t="s">
        <v>77</v>
      </c>
      <c r="E19" t="s">
        <v>78</v>
      </c>
      <c r="F19" t="s">
        <v>16</v>
      </c>
      <c r="G19">
        <v>1</v>
      </c>
      <c r="H19">
        <f t="shared" si="1"/>
        <v>5</v>
      </c>
      <c r="I19" s="6">
        <f t="shared" si="0"/>
        <v>0.6</v>
      </c>
    </row>
    <row r="20" spans="1:9" x14ac:dyDescent="0.2">
      <c r="A20" t="s">
        <v>79</v>
      </c>
      <c r="B20">
        <v>9</v>
      </c>
      <c r="C20" t="s">
        <v>80</v>
      </c>
      <c r="D20" t="s">
        <v>81</v>
      </c>
      <c r="E20" t="s">
        <v>82</v>
      </c>
      <c r="F20" t="s">
        <v>20</v>
      </c>
      <c r="G20">
        <v>0</v>
      </c>
      <c r="H20">
        <f t="shared" si="1"/>
        <v>8</v>
      </c>
      <c r="I20" s="6">
        <f t="shared" si="0"/>
        <v>0.5</v>
      </c>
    </row>
    <row r="21" spans="1:9" x14ac:dyDescent="0.2">
      <c r="A21" t="s">
        <v>83</v>
      </c>
      <c r="B21">
        <v>7</v>
      </c>
      <c r="C21" t="s">
        <v>13</v>
      </c>
      <c r="D21" t="s">
        <v>84</v>
      </c>
      <c r="E21" t="s">
        <v>85</v>
      </c>
      <c r="F21" t="s">
        <v>25</v>
      </c>
      <c r="G21">
        <v>1</v>
      </c>
      <c r="H21">
        <f t="shared" si="1"/>
        <v>7</v>
      </c>
      <c r="I21" s="6">
        <f t="shared" si="0"/>
        <v>0.7142857142857143</v>
      </c>
    </row>
    <row r="22" spans="1:9" x14ac:dyDescent="0.2">
      <c r="A22" t="s">
        <v>86</v>
      </c>
      <c r="B22">
        <v>7</v>
      </c>
      <c r="C22" t="s">
        <v>8</v>
      </c>
      <c r="D22" t="s">
        <v>87</v>
      </c>
      <c r="E22" t="s">
        <v>88</v>
      </c>
      <c r="F22" t="s">
        <v>54</v>
      </c>
      <c r="G22">
        <v>1</v>
      </c>
      <c r="H22">
        <f t="shared" si="1"/>
        <v>11</v>
      </c>
      <c r="I22" s="6">
        <f t="shared" si="0"/>
        <v>0.63636363636363635</v>
      </c>
    </row>
    <row r="23" spans="1:9" x14ac:dyDescent="0.2">
      <c r="A23" t="s">
        <v>89</v>
      </c>
      <c r="B23">
        <v>0</v>
      </c>
      <c r="C23" t="s">
        <v>22</v>
      </c>
      <c r="D23" t="s">
        <v>90</v>
      </c>
      <c r="E23" t="s">
        <v>91</v>
      </c>
      <c r="F23" t="s">
        <v>25</v>
      </c>
      <c r="G23">
        <v>0</v>
      </c>
      <c r="H23">
        <f t="shared" si="1"/>
        <v>7</v>
      </c>
      <c r="I23" s="6">
        <f t="shared" si="0"/>
        <v>0.7142857142857143</v>
      </c>
    </row>
    <row r="24" spans="1:9" x14ac:dyDescent="0.2">
      <c r="A24" t="s">
        <v>92</v>
      </c>
      <c r="B24">
        <v>7</v>
      </c>
      <c r="C24" t="s">
        <v>39</v>
      </c>
      <c r="D24" t="s">
        <v>93</v>
      </c>
      <c r="E24" t="s">
        <v>94</v>
      </c>
      <c r="F24" t="s">
        <v>37</v>
      </c>
      <c r="G24">
        <v>0</v>
      </c>
      <c r="H24">
        <f t="shared" si="1"/>
        <v>8</v>
      </c>
      <c r="I24" s="6">
        <f t="shared" si="0"/>
        <v>0.625</v>
      </c>
    </row>
    <row r="25" spans="1:9" x14ac:dyDescent="0.2">
      <c r="A25" t="s">
        <v>95</v>
      </c>
      <c r="B25">
        <v>7</v>
      </c>
      <c r="C25" t="s">
        <v>8</v>
      </c>
      <c r="D25" t="s">
        <v>96</v>
      </c>
      <c r="E25" t="s">
        <v>97</v>
      </c>
      <c r="F25" t="s">
        <v>37</v>
      </c>
      <c r="G25">
        <v>1</v>
      </c>
      <c r="H25">
        <f t="shared" si="1"/>
        <v>8</v>
      </c>
      <c r="I25" s="6">
        <f t="shared" si="0"/>
        <v>0.625</v>
      </c>
    </row>
    <row r="26" spans="1:9" x14ac:dyDescent="0.2">
      <c r="A26" t="s">
        <v>98</v>
      </c>
      <c r="B26">
        <v>0</v>
      </c>
      <c r="C26" t="s">
        <v>13</v>
      </c>
      <c r="D26" t="s">
        <v>99</v>
      </c>
      <c r="E26" t="s">
        <v>100</v>
      </c>
      <c r="F26" t="s">
        <v>29</v>
      </c>
      <c r="G26">
        <v>1</v>
      </c>
      <c r="H26">
        <f t="shared" si="1"/>
        <v>8</v>
      </c>
      <c r="I26" s="6">
        <f t="shared" si="0"/>
        <v>0.875</v>
      </c>
    </row>
    <row r="27" spans="1:9" x14ac:dyDescent="0.2">
      <c r="A27" t="s">
        <v>101</v>
      </c>
      <c r="B27">
        <v>3</v>
      </c>
      <c r="C27" t="s">
        <v>8</v>
      </c>
      <c r="D27" t="s">
        <v>102</v>
      </c>
      <c r="E27" t="s">
        <v>103</v>
      </c>
      <c r="F27" t="s">
        <v>104</v>
      </c>
      <c r="G27">
        <v>0</v>
      </c>
      <c r="H27">
        <f t="shared" si="1"/>
        <v>4</v>
      </c>
      <c r="I27" s="6">
        <f t="shared" si="0"/>
        <v>0.25</v>
      </c>
    </row>
    <row r="28" spans="1:9" x14ac:dyDescent="0.2">
      <c r="A28" t="s">
        <v>105</v>
      </c>
      <c r="B28">
        <v>2</v>
      </c>
      <c r="C28" t="s">
        <v>13</v>
      </c>
      <c r="D28" t="s">
        <v>106</v>
      </c>
      <c r="E28" t="s">
        <v>107</v>
      </c>
      <c r="F28" t="s">
        <v>108</v>
      </c>
      <c r="G28">
        <v>1</v>
      </c>
      <c r="H28">
        <f t="shared" si="1"/>
        <v>2</v>
      </c>
      <c r="I28" s="6">
        <f t="shared" si="0"/>
        <v>1</v>
      </c>
    </row>
    <row r="29" spans="1:9" x14ac:dyDescent="0.2">
      <c r="A29" t="s">
        <v>109</v>
      </c>
      <c r="B29">
        <v>1</v>
      </c>
      <c r="C29" t="s">
        <v>22</v>
      </c>
      <c r="D29" t="s">
        <v>110</v>
      </c>
      <c r="E29" t="s">
        <v>111</v>
      </c>
      <c r="F29" t="s">
        <v>46</v>
      </c>
      <c r="G29">
        <v>1</v>
      </c>
      <c r="H29">
        <f t="shared" si="1"/>
        <v>3</v>
      </c>
      <c r="I29" s="6">
        <f t="shared" si="0"/>
        <v>0.66666666666666663</v>
      </c>
    </row>
    <row r="30" spans="1:9" x14ac:dyDescent="0.2">
      <c r="A30" t="s">
        <v>112</v>
      </c>
      <c r="B30">
        <v>7</v>
      </c>
      <c r="C30" t="s">
        <v>13</v>
      </c>
      <c r="D30" t="s">
        <v>113</v>
      </c>
      <c r="E30" t="s">
        <v>114</v>
      </c>
      <c r="F30" t="s">
        <v>37</v>
      </c>
      <c r="G30">
        <v>0</v>
      </c>
      <c r="H30">
        <f t="shared" si="1"/>
        <v>8</v>
      </c>
      <c r="I30" s="6">
        <f t="shared" si="0"/>
        <v>0.625</v>
      </c>
    </row>
    <row r="31" spans="1:9" x14ac:dyDescent="0.2">
      <c r="A31" t="s">
        <v>115</v>
      </c>
      <c r="B31">
        <v>7</v>
      </c>
      <c r="C31" t="s">
        <v>22</v>
      </c>
      <c r="D31" t="s">
        <v>116</v>
      </c>
      <c r="E31" t="s">
        <v>117</v>
      </c>
      <c r="F31" t="s">
        <v>62</v>
      </c>
      <c r="G31">
        <v>0</v>
      </c>
      <c r="H31">
        <f t="shared" si="1"/>
        <v>6</v>
      </c>
      <c r="I31" s="6">
        <f t="shared" si="0"/>
        <v>0.5</v>
      </c>
    </row>
    <row r="32" spans="1:9" x14ac:dyDescent="0.2">
      <c r="A32" t="s">
        <v>118</v>
      </c>
      <c r="B32">
        <v>12</v>
      </c>
      <c r="C32" t="s">
        <v>80</v>
      </c>
      <c r="D32" t="s">
        <v>119</v>
      </c>
      <c r="E32" t="s">
        <v>120</v>
      </c>
      <c r="F32" t="s">
        <v>11</v>
      </c>
      <c r="G32">
        <v>1</v>
      </c>
      <c r="H32">
        <f t="shared" si="1"/>
        <v>4</v>
      </c>
      <c r="I32" s="6">
        <f t="shared" si="0"/>
        <v>0.5</v>
      </c>
    </row>
    <row r="33" spans="1:9" x14ac:dyDescent="0.2">
      <c r="A33" t="s">
        <v>121</v>
      </c>
      <c r="B33">
        <v>8</v>
      </c>
      <c r="C33" t="s">
        <v>80</v>
      </c>
      <c r="D33" t="s">
        <v>122</v>
      </c>
      <c r="E33" t="s">
        <v>123</v>
      </c>
      <c r="F33" t="s">
        <v>58</v>
      </c>
      <c r="G33">
        <v>1</v>
      </c>
      <c r="H33">
        <f t="shared" si="1"/>
        <v>2</v>
      </c>
      <c r="I33" s="6">
        <f t="shared" si="0"/>
        <v>1</v>
      </c>
    </row>
    <row r="34" spans="1:9" x14ac:dyDescent="0.2">
      <c r="A34" t="s">
        <v>124</v>
      </c>
      <c r="B34">
        <v>1</v>
      </c>
      <c r="C34" t="s">
        <v>8</v>
      </c>
      <c r="D34" t="s">
        <v>125</v>
      </c>
      <c r="E34" t="s">
        <v>126</v>
      </c>
      <c r="F34" t="s">
        <v>62</v>
      </c>
      <c r="G34">
        <v>1</v>
      </c>
      <c r="H34">
        <f t="shared" si="1"/>
        <v>6</v>
      </c>
      <c r="I34" s="6">
        <f t="shared" si="0"/>
        <v>0.5</v>
      </c>
    </row>
    <row r="35" spans="1:9" x14ac:dyDescent="0.2">
      <c r="A35" t="s">
        <v>127</v>
      </c>
      <c r="B35">
        <v>10</v>
      </c>
      <c r="C35" t="s">
        <v>22</v>
      </c>
      <c r="D35" t="s">
        <v>128</v>
      </c>
      <c r="E35" t="s">
        <v>129</v>
      </c>
      <c r="F35" t="s">
        <v>33</v>
      </c>
      <c r="G35">
        <v>1</v>
      </c>
      <c r="H35">
        <f t="shared" si="1"/>
        <v>4</v>
      </c>
      <c r="I35" s="6">
        <f t="shared" si="0"/>
        <v>0.5</v>
      </c>
    </row>
    <row r="36" spans="1:9" x14ac:dyDescent="0.2">
      <c r="A36" t="s">
        <v>130</v>
      </c>
      <c r="B36">
        <v>9</v>
      </c>
      <c r="C36" t="s">
        <v>80</v>
      </c>
      <c r="D36" t="s">
        <v>131</v>
      </c>
      <c r="E36" t="s">
        <v>132</v>
      </c>
      <c r="F36" t="s">
        <v>20</v>
      </c>
      <c r="G36">
        <v>1</v>
      </c>
      <c r="H36">
        <f t="shared" si="1"/>
        <v>8</v>
      </c>
      <c r="I36" s="6">
        <f t="shared" si="0"/>
        <v>0.5</v>
      </c>
    </row>
    <row r="37" spans="1:9" x14ac:dyDescent="0.2">
      <c r="A37" t="s">
        <v>133</v>
      </c>
      <c r="B37">
        <v>0</v>
      </c>
      <c r="C37" t="s">
        <v>80</v>
      </c>
      <c r="D37" t="s">
        <v>134</v>
      </c>
      <c r="E37" t="s">
        <v>135</v>
      </c>
      <c r="F37" t="s">
        <v>29</v>
      </c>
      <c r="G37">
        <v>1</v>
      </c>
      <c r="H37">
        <f t="shared" si="1"/>
        <v>8</v>
      </c>
      <c r="I37" s="6">
        <f t="shared" si="0"/>
        <v>0.875</v>
      </c>
    </row>
    <row r="38" spans="1:9" x14ac:dyDescent="0.2">
      <c r="A38" t="s">
        <v>136</v>
      </c>
      <c r="B38">
        <v>4</v>
      </c>
      <c r="C38" t="s">
        <v>13</v>
      </c>
      <c r="D38" t="s">
        <v>137</v>
      </c>
      <c r="E38" t="s">
        <v>138</v>
      </c>
      <c r="F38" t="s">
        <v>29</v>
      </c>
      <c r="G38">
        <v>0</v>
      </c>
      <c r="H38">
        <f t="shared" si="1"/>
        <v>8</v>
      </c>
      <c r="I38" s="6">
        <f t="shared" si="0"/>
        <v>0.875</v>
      </c>
    </row>
    <row r="39" spans="1:9" x14ac:dyDescent="0.2">
      <c r="A39" t="s">
        <v>139</v>
      </c>
      <c r="B39">
        <v>9</v>
      </c>
      <c r="C39" t="s">
        <v>8</v>
      </c>
      <c r="D39" t="s">
        <v>140</v>
      </c>
      <c r="E39" t="s">
        <v>141</v>
      </c>
      <c r="F39" t="s">
        <v>142</v>
      </c>
      <c r="G39">
        <v>0</v>
      </c>
      <c r="H39">
        <f t="shared" si="1"/>
        <v>5</v>
      </c>
      <c r="I39" s="6">
        <f t="shared" si="0"/>
        <v>0.4</v>
      </c>
    </row>
    <row r="40" spans="1:9" x14ac:dyDescent="0.2">
      <c r="A40" t="s">
        <v>143</v>
      </c>
      <c r="B40">
        <v>5</v>
      </c>
      <c r="C40" t="s">
        <v>13</v>
      </c>
      <c r="D40" t="s">
        <v>144</v>
      </c>
      <c r="E40" t="s">
        <v>145</v>
      </c>
      <c r="F40" t="s">
        <v>20</v>
      </c>
      <c r="G40">
        <v>0</v>
      </c>
      <c r="H40">
        <f t="shared" si="1"/>
        <v>8</v>
      </c>
      <c r="I40" s="6">
        <f t="shared" si="0"/>
        <v>0.5</v>
      </c>
    </row>
    <row r="41" spans="1:9" x14ac:dyDescent="0.2">
      <c r="A41" t="s">
        <v>146</v>
      </c>
      <c r="B41">
        <v>11</v>
      </c>
      <c r="C41" t="s">
        <v>80</v>
      </c>
      <c r="D41" t="s">
        <v>147</v>
      </c>
      <c r="E41" t="s">
        <v>148</v>
      </c>
      <c r="F41" t="s">
        <v>25</v>
      </c>
      <c r="G41">
        <v>1</v>
      </c>
      <c r="H41">
        <f t="shared" si="1"/>
        <v>7</v>
      </c>
      <c r="I41" s="6">
        <f t="shared" si="0"/>
        <v>0.7142857142857143</v>
      </c>
    </row>
    <row r="42" spans="1:9" x14ac:dyDescent="0.2">
      <c r="A42" t="s">
        <v>149</v>
      </c>
      <c r="B42">
        <v>1</v>
      </c>
      <c r="C42" t="s">
        <v>22</v>
      </c>
      <c r="D42" t="s">
        <v>150</v>
      </c>
      <c r="E42" t="s">
        <v>151</v>
      </c>
      <c r="F42" t="s">
        <v>62</v>
      </c>
      <c r="G42">
        <v>0</v>
      </c>
      <c r="H42">
        <f t="shared" si="1"/>
        <v>6</v>
      </c>
      <c r="I42" s="6">
        <f t="shared" si="0"/>
        <v>0.5</v>
      </c>
    </row>
    <row r="43" spans="1:9" x14ac:dyDescent="0.2">
      <c r="A43" t="s">
        <v>152</v>
      </c>
      <c r="B43">
        <v>0</v>
      </c>
      <c r="C43" t="s">
        <v>13</v>
      </c>
      <c r="D43" t="s">
        <v>153</v>
      </c>
      <c r="E43" t="s">
        <v>154</v>
      </c>
      <c r="F43" t="s">
        <v>42</v>
      </c>
      <c r="G43">
        <v>1</v>
      </c>
      <c r="H43">
        <f t="shared" si="1"/>
        <v>4</v>
      </c>
      <c r="I43" s="6">
        <f t="shared" si="0"/>
        <v>1</v>
      </c>
    </row>
    <row r="44" spans="1:9" x14ac:dyDescent="0.2">
      <c r="A44" t="s">
        <v>155</v>
      </c>
      <c r="B44">
        <v>7</v>
      </c>
      <c r="C44" t="s">
        <v>22</v>
      </c>
      <c r="D44" t="s">
        <v>156</v>
      </c>
      <c r="E44" t="s">
        <v>157</v>
      </c>
      <c r="F44" t="s">
        <v>29</v>
      </c>
      <c r="G44">
        <v>1</v>
      </c>
      <c r="H44">
        <f t="shared" si="1"/>
        <v>8</v>
      </c>
      <c r="I44" s="6">
        <f t="shared" si="0"/>
        <v>0.875</v>
      </c>
    </row>
    <row r="45" spans="1:9" x14ac:dyDescent="0.2">
      <c r="A45" t="s">
        <v>158</v>
      </c>
      <c r="B45">
        <v>4</v>
      </c>
      <c r="C45" t="s">
        <v>39</v>
      </c>
      <c r="D45" t="s">
        <v>159</v>
      </c>
      <c r="E45" t="s">
        <v>160</v>
      </c>
      <c r="F45" t="s">
        <v>16</v>
      </c>
      <c r="G45">
        <v>1</v>
      </c>
      <c r="H45">
        <f t="shared" si="1"/>
        <v>5</v>
      </c>
      <c r="I45" s="6">
        <f t="shared" si="0"/>
        <v>0.6</v>
      </c>
    </row>
    <row r="46" spans="1:9" x14ac:dyDescent="0.2">
      <c r="A46" t="s">
        <v>161</v>
      </c>
      <c r="B46">
        <v>0</v>
      </c>
      <c r="C46" t="s">
        <v>39</v>
      </c>
      <c r="D46" t="s">
        <v>162</v>
      </c>
      <c r="E46" t="s">
        <v>163</v>
      </c>
      <c r="F46" t="s">
        <v>142</v>
      </c>
      <c r="G46">
        <v>1</v>
      </c>
      <c r="H46">
        <f t="shared" si="1"/>
        <v>5</v>
      </c>
      <c r="I46" s="6">
        <f t="shared" si="0"/>
        <v>0.4</v>
      </c>
    </row>
    <row r="47" spans="1:9" x14ac:dyDescent="0.2">
      <c r="A47" t="s">
        <v>164</v>
      </c>
      <c r="B47">
        <v>1</v>
      </c>
      <c r="C47" t="s">
        <v>8</v>
      </c>
      <c r="D47" t="s">
        <v>165</v>
      </c>
      <c r="E47" t="s">
        <v>166</v>
      </c>
      <c r="F47" t="s">
        <v>54</v>
      </c>
      <c r="G47">
        <v>1</v>
      </c>
      <c r="H47">
        <f t="shared" si="1"/>
        <v>11</v>
      </c>
      <c r="I47" s="6">
        <f t="shared" si="0"/>
        <v>0.63636363636363635</v>
      </c>
    </row>
    <row r="48" spans="1:9" x14ac:dyDescent="0.2">
      <c r="A48" t="s">
        <v>167</v>
      </c>
      <c r="B48">
        <v>7</v>
      </c>
      <c r="C48" t="s">
        <v>39</v>
      </c>
      <c r="D48" t="s">
        <v>168</v>
      </c>
      <c r="E48" t="s">
        <v>169</v>
      </c>
      <c r="F48" t="s">
        <v>37</v>
      </c>
      <c r="G48">
        <v>0</v>
      </c>
      <c r="H48">
        <f t="shared" si="1"/>
        <v>8</v>
      </c>
      <c r="I48" s="6">
        <f t="shared" si="0"/>
        <v>0.625</v>
      </c>
    </row>
    <row r="49" spans="1:9" x14ac:dyDescent="0.2">
      <c r="A49" t="s">
        <v>170</v>
      </c>
      <c r="B49">
        <v>8</v>
      </c>
      <c r="C49" t="s">
        <v>39</v>
      </c>
      <c r="D49" t="s">
        <v>171</v>
      </c>
      <c r="E49" t="s">
        <v>172</v>
      </c>
      <c r="F49" t="s">
        <v>54</v>
      </c>
      <c r="G49">
        <v>1</v>
      </c>
      <c r="H49">
        <f t="shared" si="1"/>
        <v>11</v>
      </c>
      <c r="I49" s="6">
        <f t="shared" si="0"/>
        <v>0.63636363636363635</v>
      </c>
    </row>
    <row r="50" spans="1:9" x14ac:dyDescent="0.2">
      <c r="A50" t="s">
        <v>173</v>
      </c>
      <c r="B50">
        <v>6</v>
      </c>
      <c r="C50" t="s">
        <v>22</v>
      </c>
      <c r="D50" t="s">
        <v>174</v>
      </c>
      <c r="E50" t="s">
        <v>175</v>
      </c>
      <c r="F50" t="s">
        <v>16</v>
      </c>
      <c r="G50">
        <v>0</v>
      </c>
      <c r="H50">
        <f t="shared" si="1"/>
        <v>5</v>
      </c>
      <c r="I50" s="6">
        <f t="shared" si="0"/>
        <v>0.6</v>
      </c>
    </row>
    <row r="51" spans="1:9" x14ac:dyDescent="0.2">
      <c r="A51" t="s">
        <v>176</v>
      </c>
      <c r="B51">
        <v>4</v>
      </c>
      <c r="C51" t="s">
        <v>39</v>
      </c>
      <c r="D51" t="s">
        <v>177</v>
      </c>
      <c r="E51" t="s">
        <v>178</v>
      </c>
      <c r="F51" t="s">
        <v>54</v>
      </c>
      <c r="G51">
        <v>1</v>
      </c>
      <c r="H51">
        <f t="shared" si="1"/>
        <v>11</v>
      </c>
      <c r="I51" s="6">
        <f t="shared" si="0"/>
        <v>0.63636363636363635</v>
      </c>
    </row>
    <row r="52" spans="1:9" x14ac:dyDescent="0.2">
      <c r="A52" t="s">
        <v>179</v>
      </c>
      <c r="B52">
        <v>2</v>
      </c>
      <c r="C52" t="s">
        <v>22</v>
      </c>
      <c r="D52" t="s">
        <v>180</v>
      </c>
      <c r="E52" t="s">
        <v>181</v>
      </c>
      <c r="F52" t="s">
        <v>72</v>
      </c>
      <c r="G52">
        <v>1</v>
      </c>
      <c r="H52">
        <f t="shared" si="1"/>
        <v>4</v>
      </c>
      <c r="I52" s="6">
        <f t="shared" si="0"/>
        <v>0.5</v>
      </c>
    </row>
    <row r="53" spans="1:9" x14ac:dyDescent="0.2">
      <c r="A53" t="s">
        <v>182</v>
      </c>
      <c r="B53">
        <v>0</v>
      </c>
      <c r="C53" t="s">
        <v>80</v>
      </c>
      <c r="D53" t="s">
        <v>183</v>
      </c>
      <c r="E53" t="s">
        <v>184</v>
      </c>
      <c r="F53" t="s">
        <v>42</v>
      </c>
      <c r="G53">
        <v>1</v>
      </c>
      <c r="H53">
        <f t="shared" si="1"/>
        <v>4</v>
      </c>
      <c r="I53" s="6">
        <f t="shared" si="0"/>
        <v>1</v>
      </c>
    </row>
    <row r="54" spans="1:9" x14ac:dyDescent="0.2">
      <c r="A54" t="s">
        <v>185</v>
      </c>
      <c r="B54">
        <v>1</v>
      </c>
      <c r="C54" t="s">
        <v>8</v>
      </c>
      <c r="D54" t="s">
        <v>186</v>
      </c>
      <c r="E54" t="s">
        <v>187</v>
      </c>
      <c r="F54" t="s">
        <v>142</v>
      </c>
      <c r="G54">
        <v>1</v>
      </c>
      <c r="H54">
        <f t="shared" si="1"/>
        <v>5</v>
      </c>
      <c r="I54" s="6">
        <f t="shared" si="0"/>
        <v>0.4</v>
      </c>
    </row>
    <row r="55" spans="1:9" x14ac:dyDescent="0.2">
      <c r="A55" t="s">
        <v>188</v>
      </c>
      <c r="B55">
        <v>10</v>
      </c>
      <c r="C55" t="s">
        <v>22</v>
      </c>
      <c r="D55" t="s">
        <v>189</v>
      </c>
      <c r="E55" t="s">
        <v>190</v>
      </c>
      <c r="F55" t="s">
        <v>62</v>
      </c>
      <c r="G55">
        <v>1</v>
      </c>
      <c r="H55">
        <f t="shared" si="1"/>
        <v>6</v>
      </c>
      <c r="I55" s="6">
        <f t="shared" si="0"/>
        <v>0.5</v>
      </c>
    </row>
    <row r="56" spans="1:9" x14ac:dyDescent="0.2">
      <c r="A56" t="s">
        <v>191</v>
      </c>
      <c r="B56">
        <v>5</v>
      </c>
      <c r="C56" t="s">
        <v>8</v>
      </c>
      <c r="D56" t="s">
        <v>192</v>
      </c>
      <c r="E56" t="s">
        <v>193</v>
      </c>
      <c r="F56" t="s">
        <v>194</v>
      </c>
      <c r="G56">
        <v>1</v>
      </c>
      <c r="H56">
        <f t="shared" si="1"/>
        <v>3</v>
      </c>
      <c r="I56" s="6">
        <f t="shared" si="0"/>
        <v>1</v>
      </c>
    </row>
    <row r="57" spans="1:9" x14ac:dyDescent="0.2">
      <c r="A57" t="s">
        <v>195</v>
      </c>
      <c r="B57">
        <v>0</v>
      </c>
      <c r="C57" t="s">
        <v>39</v>
      </c>
      <c r="D57" t="s">
        <v>196</v>
      </c>
      <c r="E57" t="s">
        <v>197</v>
      </c>
      <c r="F57" t="s">
        <v>72</v>
      </c>
      <c r="G57">
        <v>0</v>
      </c>
      <c r="H57">
        <f t="shared" si="1"/>
        <v>4</v>
      </c>
      <c r="I57" s="6">
        <f t="shared" si="0"/>
        <v>0.5</v>
      </c>
    </row>
    <row r="58" spans="1:9" x14ac:dyDescent="0.2">
      <c r="A58" t="s">
        <v>198</v>
      </c>
      <c r="B58">
        <v>5</v>
      </c>
      <c r="C58" t="s">
        <v>22</v>
      </c>
      <c r="D58" t="s">
        <v>199</v>
      </c>
      <c r="E58" t="s">
        <v>200</v>
      </c>
      <c r="F58" t="s">
        <v>25</v>
      </c>
      <c r="G58">
        <v>0</v>
      </c>
      <c r="H58">
        <f t="shared" si="1"/>
        <v>7</v>
      </c>
      <c r="I58" s="6">
        <f t="shared" si="0"/>
        <v>0.7142857142857143</v>
      </c>
    </row>
    <row r="59" spans="1:9" x14ac:dyDescent="0.2">
      <c r="A59" t="s">
        <v>201</v>
      </c>
      <c r="B59">
        <v>2</v>
      </c>
      <c r="C59" t="s">
        <v>39</v>
      </c>
      <c r="D59" t="s">
        <v>202</v>
      </c>
      <c r="E59" t="s">
        <v>203</v>
      </c>
      <c r="F59" t="s">
        <v>46</v>
      </c>
      <c r="G59">
        <v>1</v>
      </c>
      <c r="H59">
        <f t="shared" si="1"/>
        <v>3</v>
      </c>
      <c r="I59" s="6">
        <f t="shared" si="0"/>
        <v>0.66666666666666663</v>
      </c>
    </row>
    <row r="60" spans="1:9" x14ac:dyDescent="0.2">
      <c r="A60" t="s">
        <v>204</v>
      </c>
      <c r="B60">
        <v>1</v>
      </c>
      <c r="C60" t="s">
        <v>8</v>
      </c>
      <c r="D60" t="s">
        <v>205</v>
      </c>
      <c r="E60" t="s">
        <v>206</v>
      </c>
      <c r="F60" t="s">
        <v>207</v>
      </c>
      <c r="G60">
        <v>1</v>
      </c>
      <c r="H60">
        <f t="shared" si="1"/>
        <v>3</v>
      </c>
      <c r="I60" s="6">
        <f t="shared" si="0"/>
        <v>1</v>
      </c>
    </row>
    <row r="61" spans="1:9" x14ac:dyDescent="0.2">
      <c r="A61" t="s">
        <v>208</v>
      </c>
      <c r="B61">
        <v>9</v>
      </c>
      <c r="C61" t="s">
        <v>13</v>
      </c>
      <c r="D61" t="s">
        <v>209</v>
      </c>
      <c r="E61" t="s">
        <v>210</v>
      </c>
      <c r="F61" t="s">
        <v>211</v>
      </c>
      <c r="G61">
        <v>0</v>
      </c>
      <c r="H61">
        <f t="shared" si="1"/>
        <v>3</v>
      </c>
      <c r="I61" s="6">
        <f t="shared" si="0"/>
        <v>0.33333333333333331</v>
      </c>
    </row>
    <row r="62" spans="1:9" x14ac:dyDescent="0.2">
      <c r="A62" t="s">
        <v>212</v>
      </c>
      <c r="B62">
        <v>7</v>
      </c>
      <c r="C62" t="s">
        <v>39</v>
      </c>
      <c r="D62" t="s">
        <v>213</v>
      </c>
      <c r="E62" t="s">
        <v>214</v>
      </c>
      <c r="F62" t="s">
        <v>11</v>
      </c>
      <c r="G62">
        <v>1</v>
      </c>
      <c r="H62">
        <f t="shared" si="1"/>
        <v>4</v>
      </c>
      <c r="I62" s="6">
        <f t="shared" si="0"/>
        <v>0.5</v>
      </c>
    </row>
    <row r="63" spans="1:9" x14ac:dyDescent="0.2">
      <c r="A63" t="s">
        <v>215</v>
      </c>
      <c r="B63">
        <v>2</v>
      </c>
      <c r="C63" t="s">
        <v>13</v>
      </c>
      <c r="D63" t="s">
        <v>216</v>
      </c>
      <c r="E63" t="s">
        <v>217</v>
      </c>
      <c r="F63" t="s">
        <v>25</v>
      </c>
      <c r="G63">
        <v>1</v>
      </c>
      <c r="H63">
        <f t="shared" si="1"/>
        <v>7</v>
      </c>
      <c r="I63" s="6">
        <f t="shared" si="0"/>
        <v>0.7142857142857143</v>
      </c>
    </row>
    <row r="64" spans="1:9" x14ac:dyDescent="0.2">
      <c r="A64" t="s">
        <v>218</v>
      </c>
      <c r="B64">
        <v>1</v>
      </c>
      <c r="C64" t="s">
        <v>80</v>
      </c>
      <c r="D64" t="s">
        <v>219</v>
      </c>
      <c r="E64" t="s">
        <v>220</v>
      </c>
      <c r="F64" t="s">
        <v>221</v>
      </c>
      <c r="G64">
        <v>1</v>
      </c>
      <c r="H64">
        <f t="shared" si="1"/>
        <v>3</v>
      </c>
      <c r="I64" s="6">
        <f t="shared" si="0"/>
        <v>0.66666666666666663</v>
      </c>
    </row>
    <row r="65" spans="1:9" x14ac:dyDescent="0.2">
      <c r="A65" t="s">
        <v>222</v>
      </c>
      <c r="B65">
        <v>1</v>
      </c>
      <c r="C65" t="s">
        <v>39</v>
      </c>
      <c r="D65" t="s">
        <v>223</v>
      </c>
      <c r="E65" t="s">
        <v>224</v>
      </c>
      <c r="F65" t="s">
        <v>221</v>
      </c>
      <c r="G65">
        <v>1</v>
      </c>
      <c r="H65">
        <f t="shared" si="1"/>
        <v>3</v>
      </c>
      <c r="I65" s="6">
        <f t="shared" si="0"/>
        <v>0.66666666666666663</v>
      </c>
    </row>
    <row r="66" spans="1:9" x14ac:dyDescent="0.2">
      <c r="A66" t="s">
        <v>225</v>
      </c>
      <c r="B66">
        <v>1</v>
      </c>
      <c r="C66" t="s">
        <v>8</v>
      </c>
      <c r="D66" t="s">
        <v>226</v>
      </c>
      <c r="E66" t="s">
        <v>227</v>
      </c>
      <c r="F66" t="s">
        <v>54</v>
      </c>
      <c r="G66">
        <v>0</v>
      </c>
      <c r="H66">
        <f t="shared" ref="H66:H129" si="2">COUNTIF($F$2:$F$100, F66)</f>
        <v>11</v>
      </c>
      <c r="I66" s="6">
        <f t="shared" ref="I66:I129" si="3">SUMIFS($G$2:$G$100, $F$2:$F$100, F66) / COUNTIF($F$2:$F$100, F66)</f>
        <v>0.63636363636363635</v>
      </c>
    </row>
    <row r="67" spans="1:9" x14ac:dyDescent="0.2">
      <c r="A67" t="s">
        <v>228</v>
      </c>
      <c r="B67">
        <v>3</v>
      </c>
      <c r="C67" t="s">
        <v>80</v>
      </c>
      <c r="D67" t="s">
        <v>229</v>
      </c>
      <c r="E67" t="s">
        <v>230</v>
      </c>
      <c r="F67" t="s">
        <v>72</v>
      </c>
      <c r="G67">
        <v>0</v>
      </c>
      <c r="H67">
        <f t="shared" si="2"/>
        <v>4</v>
      </c>
      <c r="I67" s="6">
        <f t="shared" si="3"/>
        <v>0.5</v>
      </c>
    </row>
    <row r="68" spans="1:9" x14ac:dyDescent="0.2">
      <c r="A68" t="s">
        <v>231</v>
      </c>
      <c r="B68">
        <v>1</v>
      </c>
      <c r="C68" t="s">
        <v>22</v>
      </c>
      <c r="D68" t="s">
        <v>232</v>
      </c>
      <c r="E68" t="s">
        <v>233</v>
      </c>
      <c r="F68" t="s">
        <v>20</v>
      </c>
      <c r="G68">
        <v>1</v>
      </c>
      <c r="H68">
        <f t="shared" si="2"/>
        <v>8</v>
      </c>
      <c r="I68" s="6">
        <f t="shared" si="3"/>
        <v>0.5</v>
      </c>
    </row>
    <row r="69" spans="1:9" x14ac:dyDescent="0.2">
      <c r="A69" t="s">
        <v>234</v>
      </c>
      <c r="B69">
        <v>4</v>
      </c>
      <c r="C69" t="s">
        <v>80</v>
      </c>
      <c r="D69" t="s">
        <v>235</v>
      </c>
      <c r="E69" t="s">
        <v>236</v>
      </c>
      <c r="F69" t="s">
        <v>211</v>
      </c>
      <c r="G69">
        <v>1</v>
      </c>
      <c r="H69">
        <f t="shared" si="2"/>
        <v>3</v>
      </c>
      <c r="I69" s="6">
        <f t="shared" si="3"/>
        <v>0.33333333333333331</v>
      </c>
    </row>
    <row r="70" spans="1:9" x14ac:dyDescent="0.2">
      <c r="A70" t="s">
        <v>237</v>
      </c>
      <c r="B70">
        <v>10</v>
      </c>
      <c r="C70" t="s">
        <v>13</v>
      </c>
      <c r="D70" t="s">
        <v>238</v>
      </c>
      <c r="E70" t="s">
        <v>239</v>
      </c>
      <c r="F70" t="s">
        <v>108</v>
      </c>
      <c r="G70">
        <v>1</v>
      </c>
      <c r="H70">
        <f t="shared" si="2"/>
        <v>2</v>
      </c>
      <c r="I70" s="6">
        <f t="shared" si="3"/>
        <v>1</v>
      </c>
    </row>
    <row r="71" spans="1:9" x14ac:dyDescent="0.2">
      <c r="A71" t="s">
        <v>240</v>
      </c>
      <c r="B71">
        <v>6</v>
      </c>
      <c r="C71" t="s">
        <v>8</v>
      </c>
      <c r="D71" t="s">
        <v>241</v>
      </c>
      <c r="E71" t="s">
        <v>242</v>
      </c>
      <c r="F71" t="s">
        <v>207</v>
      </c>
      <c r="G71">
        <v>1</v>
      </c>
      <c r="H71">
        <f t="shared" si="2"/>
        <v>3</v>
      </c>
      <c r="I71" s="6">
        <f t="shared" si="3"/>
        <v>1</v>
      </c>
    </row>
    <row r="72" spans="1:9" x14ac:dyDescent="0.2">
      <c r="A72" t="s">
        <v>243</v>
      </c>
      <c r="B72">
        <v>10</v>
      </c>
      <c r="C72" t="s">
        <v>22</v>
      </c>
      <c r="D72" t="s">
        <v>244</v>
      </c>
      <c r="E72" t="s">
        <v>245</v>
      </c>
      <c r="F72" t="s">
        <v>37</v>
      </c>
      <c r="G72">
        <v>1</v>
      </c>
      <c r="H72">
        <f t="shared" si="2"/>
        <v>8</v>
      </c>
      <c r="I72" s="6">
        <f t="shared" si="3"/>
        <v>0.625</v>
      </c>
    </row>
    <row r="73" spans="1:9" x14ac:dyDescent="0.2">
      <c r="A73" t="s">
        <v>246</v>
      </c>
      <c r="B73">
        <v>9</v>
      </c>
      <c r="C73" t="s">
        <v>8</v>
      </c>
      <c r="D73" t="s">
        <v>247</v>
      </c>
      <c r="E73" t="s">
        <v>248</v>
      </c>
      <c r="F73" t="s">
        <v>142</v>
      </c>
      <c r="G73">
        <v>0</v>
      </c>
      <c r="H73">
        <f t="shared" si="2"/>
        <v>5</v>
      </c>
      <c r="I73" s="6">
        <f t="shared" si="3"/>
        <v>0.4</v>
      </c>
    </row>
    <row r="74" spans="1:9" x14ac:dyDescent="0.2">
      <c r="A74" t="s">
        <v>249</v>
      </c>
      <c r="B74">
        <v>10</v>
      </c>
      <c r="C74" t="s">
        <v>8</v>
      </c>
      <c r="D74" t="s">
        <v>250</v>
      </c>
      <c r="E74" t="s">
        <v>251</v>
      </c>
      <c r="F74" t="s">
        <v>104</v>
      </c>
      <c r="G74">
        <v>0</v>
      </c>
      <c r="H74">
        <f t="shared" si="2"/>
        <v>4</v>
      </c>
      <c r="I74" s="6">
        <f t="shared" si="3"/>
        <v>0.25</v>
      </c>
    </row>
    <row r="75" spans="1:9" x14ac:dyDescent="0.2">
      <c r="A75" t="s">
        <v>252</v>
      </c>
      <c r="B75">
        <v>7</v>
      </c>
      <c r="C75" t="s">
        <v>39</v>
      </c>
      <c r="D75" t="s">
        <v>253</v>
      </c>
      <c r="E75" t="s">
        <v>254</v>
      </c>
      <c r="F75" t="s">
        <v>194</v>
      </c>
      <c r="G75">
        <v>1</v>
      </c>
      <c r="H75">
        <f t="shared" si="2"/>
        <v>3</v>
      </c>
      <c r="I75" s="6">
        <f t="shared" si="3"/>
        <v>1</v>
      </c>
    </row>
    <row r="76" spans="1:9" x14ac:dyDescent="0.2">
      <c r="A76" t="s">
        <v>255</v>
      </c>
      <c r="B76">
        <v>1</v>
      </c>
      <c r="C76" t="s">
        <v>8</v>
      </c>
      <c r="D76" t="s">
        <v>256</v>
      </c>
      <c r="E76" t="s">
        <v>257</v>
      </c>
      <c r="F76" t="s">
        <v>50</v>
      </c>
      <c r="G76">
        <v>0</v>
      </c>
      <c r="H76">
        <f t="shared" si="2"/>
        <v>2</v>
      </c>
      <c r="I76" s="6">
        <f t="shared" si="3"/>
        <v>0.5</v>
      </c>
    </row>
    <row r="77" spans="1:9" x14ac:dyDescent="0.2">
      <c r="A77" t="s">
        <v>258</v>
      </c>
      <c r="B77">
        <v>8</v>
      </c>
      <c r="C77" t="s">
        <v>39</v>
      </c>
      <c r="D77" t="s">
        <v>259</v>
      </c>
      <c r="E77" t="s">
        <v>260</v>
      </c>
      <c r="F77" t="s">
        <v>104</v>
      </c>
      <c r="G77">
        <v>0</v>
      </c>
      <c r="H77">
        <f t="shared" si="2"/>
        <v>4</v>
      </c>
      <c r="I77" s="6">
        <f t="shared" si="3"/>
        <v>0.25</v>
      </c>
    </row>
    <row r="78" spans="1:9" x14ac:dyDescent="0.2">
      <c r="A78" t="s">
        <v>261</v>
      </c>
      <c r="B78">
        <v>4</v>
      </c>
      <c r="C78" t="s">
        <v>13</v>
      </c>
      <c r="D78" t="s">
        <v>262</v>
      </c>
      <c r="E78" t="s">
        <v>263</v>
      </c>
      <c r="F78" t="s">
        <v>20</v>
      </c>
      <c r="G78">
        <v>0</v>
      </c>
      <c r="H78">
        <f t="shared" si="2"/>
        <v>8</v>
      </c>
      <c r="I78" s="6">
        <f t="shared" si="3"/>
        <v>0.5</v>
      </c>
    </row>
    <row r="79" spans="1:9" x14ac:dyDescent="0.2">
      <c r="A79" t="s">
        <v>264</v>
      </c>
      <c r="B79">
        <v>8</v>
      </c>
      <c r="C79" t="s">
        <v>80</v>
      </c>
      <c r="D79" t="s">
        <v>265</v>
      </c>
      <c r="E79" t="s">
        <v>266</v>
      </c>
      <c r="F79" t="s">
        <v>20</v>
      </c>
      <c r="G79">
        <v>1</v>
      </c>
      <c r="H79">
        <f t="shared" si="2"/>
        <v>8</v>
      </c>
      <c r="I79" s="6">
        <f t="shared" si="3"/>
        <v>0.5</v>
      </c>
    </row>
    <row r="80" spans="1:9" x14ac:dyDescent="0.2">
      <c r="A80" t="s">
        <v>267</v>
      </c>
      <c r="B80">
        <v>0</v>
      </c>
      <c r="C80" t="s">
        <v>22</v>
      </c>
      <c r="D80" t="s">
        <v>268</v>
      </c>
      <c r="E80" t="s">
        <v>269</v>
      </c>
      <c r="F80" t="s">
        <v>37</v>
      </c>
      <c r="G80">
        <v>1</v>
      </c>
      <c r="H80">
        <f t="shared" si="2"/>
        <v>8</v>
      </c>
      <c r="I80" s="6">
        <f t="shared" si="3"/>
        <v>0.625</v>
      </c>
    </row>
    <row r="81" spans="1:9" x14ac:dyDescent="0.2">
      <c r="A81" t="s">
        <v>270</v>
      </c>
      <c r="B81">
        <v>11</v>
      </c>
      <c r="C81" t="s">
        <v>80</v>
      </c>
      <c r="D81" t="s">
        <v>271</v>
      </c>
      <c r="E81" t="s">
        <v>272</v>
      </c>
      <c r="F81" t="s">
        <v>42</v>
      </c>
      <c r="G81">
        <v>1</v>
      </c>
      <c r="H81">
        <f t="shared" si="2"/>
        <v>4</v>
      </c>
      <c r="I81" s="6">
        <f t="shared" si="3"/>
        <v>1</v>
      </c>
    </row>
    <row r="82" spans="1:9" x14ac:dyDescent="0.2">
      <c r="A82" t="s">
        <v>273</v>
      </c>
      <c r="B82">
        <v>5</v>
      </c>
      <c r="C82" t="s">
        <v>13</v>
      </c>
      <c r="D82" t="s">
        <v>274</v>
      </c>
      <c r="E82" t="s">
        <v>275</v>
      </c>
      <c r="F82" t="s">
        <v>104</v>
      </c>
      <c r="G82">
        <v>1</v>
      </c>
      <c r="H82">
        <f t="shared" si="2"/>
        <v>4</v>
      </c>
      <c r="I82" s="6">
        <f t="shared" si="3"/>
        <v>0.25</v>
      </c>
    </row>
    <row r="83" spans="1:9" x14ac:dyDescent="0.2">
      <c r="A83" t="s">
        <v>276</v>
      </c>
      <c r="B83">
        <v>0</v>
      </c>
      <c r="C83" t="s">
        <v>39</v>
      </c>
      <c r="D83" t="s">
        <v>277</v>
      </c>
      <c r="E83" t="s">
        <v>278</v>
      </c>
      <c r="F83" t="s">
        <v>54</v>
      </c>
      <c r="G83">
        <v>1</v>
      </c>
      <c r="H83">
        <f t="shared" si="2"/>
        <v>11</v>
      </c>
      <c r="I83" s="6">
        <f t="shared" si="3"/>
        <v>0.63636363636363635</v>
      </c>
    </row>
    <row r="84" spans="1:9" x14ac:dyDescent="0.2">
      <c r="A84" t="s">
        <v>279</v>
      </c>
      <c r="B84">
        <v>1</v>
      </c>
      <c r="C84" t="s">
        <v>13</v>
      </c>
      <c r="D84" t="s">
        <v>280</v>
      </c>
      <c r="E84" t="s">
        <v>281</v>
      </c>
      <c r="F84" t="s">
        <v>37</v>
      </c>
      <c r="G84">
        <v>1</v>
      </c>
      <c r="H84">
        <f t="shared" si="2"/>
        <v>8</v>
      </c>
      <c r="I84" s="6">
        <f t="shared" si="3"/>
        <v>0.625</v>
      </c>
    </row>
    <row r="85" spans="1:9" x14ac:dyDescent="0.2">
      <c r="A85" t="s">
        <v>282</v>
      </c>
      <c r="B85">
        <v>9</v>
      </c>
      <c r="C85" t="s">
        <v>13</v>
      </c>
      <c r="D85" t="s">
        <v>283</v>
      </c>
      <c r="E85" t="s">
        <v>284</v>
      </c>
      <c r="F85" t="s">
        <v>211</v>
      </c>
      <c r="G85">
        <v>0</v>
      </c>
      <c r="H85">
        <f t="shared" si="2"/>
        <v>3</v>
      </c>
      <c r="I85" s="6">
        <f t="shared" si="3"/>
        <v>0.33333333333333331</v>
      </c>
    </row>
    <row r="86" spans="1:9" x14ac:dyDescent="0.2">
      <c r="A86" t="s">
        <v>285</v>
      </c>
      <c r="B86">
        <v>6</v>
      </c>
      <c r="C86" t="s">
        <v>80</v>
      </c>
      <c r="D86" t="s">
        <v>286</v>
      </c>
      <c r="E86" t="s">
        <v>287</v>
      </c>
      <c r="F86" t="s">
        <v>11</v>
      </c>
      <c r="G86">
        <v>0</v>
      </c>
      <c r="H86">
        <f t="shared" si="2"/>
        <v>4</v>
      </c>
      <c r="I86" s="6">
        <f t="shared" si="3"/>
        <v>0.5</v>
      </c>
    </row>
    <row r="87" spans="1:9" x14ac:dyDescent="0.2">
      <c r="A87" t="s">
        <v>288</v>
      </c>
      <c r="B87">
        <v>8</v>
      </c>
      <c r="C87" t="s">
        <v>80</v>
      </c>
      <c r="D87" t="s">
        <v>289</v>
      </c>
      <c r="E87" t="s">
        <v>290</v>
      </c>
      <c r="F87" t="s">
        <v>29</v>
      </c>
      <c r="G87">
        <v>1</v>
      </c>
      <c r="H87">
        <f t="shared" si="2"/>
        <v>8</v>
      </c>
      <c r="I87" s="6">
        <f t="shared" si="3"/>
        <v>0.875</v>
      </c>
    </row>
    <row r="88" spans="1:9" x14ac:dyDescent="0.2">
      <c r="A88" t="s">
        <v>291</v>
      </c>
      <c r="B88">
        <v>9</v>
      </c>
      <c r="C88" t="s">
        <v>8</v>
      </c>
      <c r="D88" t="s">
        <v>292</v>
      </c>
      <c r="E88" t="s">
        <v>293</v>
      </c>
      <c r="F88" t="s">
        <v>33</v>
      </c>
      <c r="G88">
        <v>0</v>
      </c>
      <c r="H88">
        <f t="shared" si="2"/>
        <v>4</v>
      </c>
      <c r="I88" s="6">
        <f t="shared" si="3"/>
        <v>0.5</v>
      </c>
    </row>
    <row r="89" spans="1:9" x14ac:dyDescent="0.2">
      <c r="A89" t="s">
        <v>294</v>
      </c>
      <c r="B89">
        <v>4</v>
      </c>
      <c r="C89" t="s">
        <v>39</v>
      </c>
      <c r="D89" t="s">
        <v>295</v>
      </c>
      <c r="E89" t="s">
        <v>296</v>
      </c>
      <c r="F89" t="s">
        <v>54</v>
      </c>
      <c r="G89">
        <v>1</v>
      </c>
      <c r="H89">
        <f t="shared" si="2"/>
        <v>11</v>
      </c>
      <c r="I89" s="6">
        <f t="shared" si="3"/>
        <v>0.63636363636363635</v>
      </c>
    </row>
    <row r="90" spans="1:9" x14ac:dyDescent="0.2">
      <c r="A90" t="s">
        <v>297</v>
      </c>
      <c r="B90">
        <v>4</v>
      </c>
      <c r="C90" t="s">
        <v>8</v>
      </c>
      <c r="D90" t="s">
        <v>298</v>
      </c>
      <c r="E90" t="s">
        <v>299</v>
      </c>
      <c r="F90" t="s">
        <v>194</v>
      </c>
      <c r="G90">
        <v>1</v>
      </c>
      <c r="H90">
        <f t="shared" si="2"/>
        <v>3</v>
      </c>
      <c r="I90" s="6">
        <f t="shared" si="3"/>
        <v>1</v>
      </c>
    </row>
    <row r="91" spans="1:9" x14ac:dyDescent="0.2">
      <c r="A91" t="s">
        <v>300</v>
      </c>
      <c r="B91">
        <v>10</v>
      </c>
      <c r="C91" t="s">
        <v>39</v>
      </c>
      <c r="D91" t="s">
        <v>301</v>
      </c>
      <c r="E91" t="s">
        <v>302</v>
      </c>
      <c r="F91" t="s">
        <v>29</v>
      </c>
      <c r="G91">
        <v>1</v>
      </c>
      <c r="H91">
        <f t="shared" si="2"/>
        <v>8</v>
      </c>
      <c r="I91" s="6">
        <f t="shared" si="3"/>
        <v>0.875</v>
      </c>
    </row>
    <row r="92" spans="1:9" x14ac:dyDescent="0.2">
      <c r="A92" t="s">
        <v>303</v>
      </c>
      <c r="B92">
        <v>4</v>
      </c>
      <c r="C92" t="s">
        <v>22</v>
      </c>
      <c r="D92" t="s">
        <v>304</v>
      </c>
      <c r="E92" t="s">
        <v>305</v>
      </c>
      <c r="F92" t="s">
        <v>207</v>
      </c>
      <c r="G92">
        <v>1</v>
      </c>
      <c r="H92">
        <f t="shared" si="2"/>
        <v>3</v>
      </c>
      <c r="I92" s="6">
        <f t="shared" si="3"/>
        <v>1</v>
      </c>
    </row>
    <row r="93" spans="1:9" x14ac:dyDescent="0.2">
      <c r="A93" t="s">
        <v>306</v>
      </c>
      <c r="B93">
        <v>6</v>
      </c>
      <c r="C93" t="s">
        <v>8</v>
      </c>
      <c r="D93" t="s">
        <v>307</v>
      </c>
      <c r="E93" t="s">
        <v>308</v>
      </c>
      <c r="F93" t="s">
        <v>221</v>
      </c>
      <c r="G93">
        <v>0</v>
      </c>
      <c r="H93">
        <f t="shared" si="2"/>
        <v>3</v>
      </c>
      <c r="I93" s="6">
        <f t="shared" si="3"/>
        <v>0.66666666666666663</v>
      </c>
    </row>
    <row r="94" spans="1:9" x14ac:dyDescent="0.2">
      <c r="A94" t="s">
        <v>309</v>
      </c>
      <c r="B94">
        <v>2</v>
      </c>
      <c r="C94" t="s">
        <v>80</v>
      </c>
      <c r="D94" t="s">
        <v>310</v>
      </c>
      <c r="E94" t="s">
        <v>311</v>
      </c>
      <c r="F94" t="s">
        <v>25</v>
      </c>
      <c r="G94">
        <v>1</v>
      </c>
      <c r="H94">
        <f t="shared" si="2"/>
        <v>7</v>
      </c>
      <c r="I94" s="6">
        <f t="shared" si="3"/>
        <v>0.7142857142857143</v>
      </c>
    </row>
    <row r="95" spans="1:9" x14ac:dyDescent="0.2">
      <c r="A95" t="s">
        <v>312</v>
      </c>
      <c r="B95">
        <v>6</v>
      </c>
      <c r="C95" t="s">
        <v>39</v>
      </c>
      <c r="D95" t="s">
        <v>313</v>
      </c>
      <c r="E95" t="s">
        <v>314</v>
      </c>
      <c r="F95" t="s">
        <v>142</v>
      </c>
      <c r="G95">
        <v>0</v>
      </c>
      <c r="H95">
        <f t="shared" si="2"/>
        <v>5</v>
      </c>
      <c r="I95" s="6">
        <f t="shared" si="3"/>
        <v>0.4</v>
      </c>
    </row>
    <row r="96" spans="1:9" x14ac:dyDescent="0.2">
      <c r="A96" t="s">
        <v>315</v>
      </c>
      <c r="B96">
        <v>10</v>
      </c>
      <c r="C96" t="s">
        <v>8</v>
      </c>
      <c r="D96" t="s">
        <v>316</v>
      </c>
      <c r="E96" t="s">
        <v>317</v>
      </c>
      <c r="F96" t="s">
        <v>20</v>
      </c>
      <c r="G96">
        <v>0</v>
      </c>
      <c r="H96">
        <f t="shared" si="2"/>
        <v>8</v>
      </c>
      <c r="I96" s="6">
        <f t="shared" si="3"/>
        <v>0.5</v>
      </c>
    </row>
    <row r="97" spans="1:9" x14ac:dyDescent="0.2">
      <c r="A97" t="s">
        <v>318</v>
      </c>
      <c r="B97">
        <v>6</v>
      </c>
      <c r="C97" t="s">
        <v>80</v>
      </c>
      <c r="D97" t="s">
        <v>319</v>
      </c>
      <c r="E97" t="s">
        <v>320</v>
      </c>
      <c r="F97" t="s">
        <v>62</v>
      </c>
      <c r="G97">
        <v>0</v>
      </c>
      <c r="H97">
        <f t="shared" si="2"/>
        <v>6</v>
      </c>
      <c r="I97" s="6">
        <f t="shared" si="3"/>
        <v>0.5</v>
      </c>
    </row>
    <row r="98" spans="1:9" x14ac:dyDescent="0.2">
      <c r="A98" t="s">
        <v>321</v>
      </c>
      <c r="B98">
        <v>0</v>
      </c>
      <c r="C98" t="s">
        <v>13</v>
      </c>
      <c r="D98" t="s">
        <v>322</v>
      </c>
      <c r="E98" t="s">
        <v>323</v>
      </c>
      <c r="F98" t="s">
        <v>16</v>
      </c>
      <c r="G98">
        <v>0</v>
      </c>
      <c r="H98">
        <f t="shared" si="2"/>
        <v>5</v>
      </c>
      <c r="I98" s="6">
        <f t="shared" si="3"/>
        <v>0.6</v>
      </c>
    </row>
    <row r="99" spans="1:9" x14ac:dyDescent="0.2">
      <c r="A99" t="s">
        <v>324</v>
      </c>
      <c r="B99">
        <v>0</v>
      </c>
      <c r="C99" t="s">
        <v>80</v>
      </c>
      <c r="D99" t="s">
        <v>325</v>
      </c>
      <c r="E99" t="s">
        <v>326</v>
      </c>
      <c r="F99" t="s">
        <v>54</v>
      </c>
      <c r="G99">
        <v>0</v>
      </c>
      <c r="H99">
        <f t="shared" si="2"/>
        <v>11</v>
      </c>
      <c r="I99" s="6">
        <f t="shared" si="3"/>
        <v>0.63636363636363635</v>
      </c>
    </row>
    <row r="100" spans="1:9" x14ac:dyDescent="0.2">
      <c r="A100" t="s">
        <v>327</v>
      </c>
      <c r="B100">
        <v>5</v>
      </c>
      <c r="C100" t="s">
        <v>13</v>
      </c>
      <c r="D100" t="s">
        <v>328</v>
      </c>
      <c r="E100" t="s">
        <v>329</v>
      </c>
      <c r="F100" t="s">
        <v>54</v>
      </c>
      <c r="G100">
        <v>1</v>
      </c>
      <c r="H100">
        <f t="shared" si="2"/>
        <v>11</v>
      </c>
      <c r="I100" s="6">
        <f t="shared" si="3"/>
        <v>0.63636363636363635</v>
      </c>
    </row>
    <row r="101" spans="1:9" x14ac:dyDescent="0.2">
      <c r="A101" t="s">
        <v>330</v>
      </c>
      <c r="B101">
        <v>0</v>
      </c>
      <c r="C101" t="s">
        <v>39</v>
      </c>
      <c r="D101" t="s">
        <v>331</v>
      </c>
      <c r="E101" t="s">
        <v>332</v>
      </c>
      <c r="F101" t="s">
        <v>54</v>
      </c>
      <c r="G101">
        <v>0</v>
      </c>
      <c r="H101">
        <f t="shared" si="2"/>
        <v>11</v>
      </c>
      <c r="I101" s="6">
        <f t="shared" si="3"/>
        <v>0.63636363636363635</v>
      </c>
    </row>
    <row r="102" spans="1:9" x14ac:dyDescent="0.2">
      <c r="A102" t="s">
        <v>333</v>
      </c>
      <c r="B102">
        <v>9</v>
      </c>
      <c r="C102" t="s">
        <v>8</v>
      </c>
      <c r="D102" t="s">
        <v>334</v>
      </c>
      <c r="E102" t="s">
        <v>335</v>
      </c>
      <c r="F102" t="s">
        <v>33</v>
      </c>
      <c r="G102">
        <v>0</v>
      </c>
      <c r="H102">
        <f t="shared" si="2"/>
        <v>4</v>
      </c>
      <c r="I102" s="6">
        <f t="shared" si="3"/>
        <v>0.5</v>
      </c>
    </row>
    <row r="103" spans="1:9" x14ac:dyDescent="0.2">
      <c r="A103" t="s">
        <v>336</v>
      </c>
      <c r="B103">
        <v>0</v>
      </c>
      <c r="C103" t="s">
        <v>13</v>
      </c>
      <c r="D103" t="s">
        <v>337</v>
      </c>
      <c r="E103" t="s">
        <v>338</v>
      </c>
      <c r="F103" t="s">
        <v>221</v>
      </c>
      <c r="G103">
        <v>0</v>
      </c>
      <c r="H103">
        <f t="shared" si="2"/>
        <v>3</v>
      </c>
      <c r="I103" s="6">
        <f t="shared" si="3"/>
        <v>0.66666666666666663</v>
      </c>
    </row>
    <row r="104" spans="1:9" x14ac:dyDescent="0.2">
      <c r="A104" t="s">
        <v>339</v>
      </c>
      <c r="B104">
        <v>9</v>
      </c>
      <c r="C104" t="s">
        <v>80</v>
      </c>
      <c r="D104" t="s">
        <v>340</v>
      </c>
      <c r="E104" t="s">
        <v>341</v>
      </c>
      <c r="F104" t="s">
        <v>142</v>
      </c>
      <c r="G104">
        <v>0</v>
      </c>
      <c r="H104">
        <f t="shared" si="2"/>
        <v>5</v>
      </c>
      <c r="I104" s="6">
        <f t="shared" si="3"/>
        <v>0.4</v>
      </c>
    </row>
    <row r="105" spans="1:9" x14ac:dyDescent="0.2">
      <c r="A105" t="s">
        <v>342</v>
      </c>
      <c r="B105">
        <v>0</v>
      </c>
      <c r="C105" t="s">
        <v>13</v>
      </c>
      <c r="D105" t="s">
        <v>343</v>
      </c>
      <c r="E105" t="s">
        <v>344</v>
      </c>
      <c r="F105" t="s">
        <v>25</v>
      </c>
      <c r="G105">
        <v>1</v>
      </c>
      <c r="H105">
        <f t="shared" si="2"/>
        <v>7</v>
      </c>
      <c r="I105" s="6">
        <f t="shared" si="3"/>
        <v>0.7142857142857143</v>
      </c>
    </row>
    <row r="106" spans="1:9" x14ac:dyDescent="0.2">
      <c r="A106" t="s">
        <v>345</v>
      </c>
      <c r="B106">
        <v>4</v>
      </c>
      <c r="C106" t="s">
        <v>13</v>
      </c>
      <c r="D106" t="s">
        <v>346</v>
      </c>
      <c r="E106" t="s">
        <v>347</v>
      </c>
      <c r="F106" t="s">
        <v>72</v>
      </c>
      <c r="G106">
        <v>0</v>
      </c>
      <c r="H106">
        <f t="shared" si="2"/>
        <v>4</v>
      </c>
      <c r="I106" s="6">
        <f t="shared" si="3"/>
        <v>0.5</v>
      </c>
    </row>
    <row r="107" spans="1:9" x14ac:dyDescent="0.2">
      <c r="A107" t="s">
        <v>348</v>
      </c>
      <c r="B107">
        <v>6</v>
      </c>
      <c r="C107" t="s">
        <v>8</v>
      </c>
      <c r="D107" t="s">
        <v>349</v>
      </c>
      <c r="E107" t="s">
        <v>350</v>
      </c>
      <c r="F107" t="s">
        <v>58</v>
      </c>
      <c r="G107">
        <v>0</v>
      </c>
      <c r="H107">
        <f t="shared" si="2"/>
        <v>2</v>
      </c>
      <c r="I107" s="6">
        <f t="shared" si="3"/>
        <v>1</v>
      </c>
    </row>
    <row r="108" spans="1:9" x14ac:dyDescent="0.2">
      <c r="A108" t="s">
        <v>351</v>
      </c>
      <c r="B108">
        <v>8</v>
      </c>
      <c r="C108" t="s">
        <v>39</v>
      </c>
      <c r="D108" t="s">
        <v>352</v>
      </c>
      <c r="E108" t="s">
        <v>353</v>
      </c>
      <c r="F108" t="s">
        <v>16</v>
      </c>
      <c r="G108">
        <v>1</v>
      </c>
      <c r="H108">
        <f t="shared" si="2"/>
        <v>5</v>
      </c>
      <c r="I108" s="6">
        <f t="shared" si="3"/>
        <v>0.6</v>
      </c>
    </row>
    <row r="109" spans="1:9" x14ac:dyDescent="0.2">
      <c r="A109" t="s">
        <v>354</v>
      </c>
      <c r="B109">
        <v>8</v>
      </c>
      <c r="C109" t="s">
        <v>80</v>
      </c>
      <c r="D109" t="s">
        <v>355</v>
      </c>
      <c r="E109" t="s">
        <v>356</v>
      </c>
      <c r="F109" t="s">
        <v>20</v>
      </c>
      <c r="G109">
        <v>1</v>
      </c>
      <c r="H109">
        <f t="shared" si="2"/>
        <v>8</v>
      </c>
      <c r="I109" s="6">
        <f t="shared" si="3"/>
        <v>0.5</v>
      </c>
    </row>
    <row r="110" spans="1:9" x14ac:dyDescent="0.2">
      <c r="A110" t="s">
        <v>357</v>
      </c>
      <c r="B110">
        <v>0</v>
      </c>
      <c r="C110" t="s">
        <v>13</v>
      </c>
      <c r="D110" t="s">
        <v>358</v>
      </c>
      <c r="E110" t="s">
        <v>359</v>
      </c>
      <c r="F110" t="s">
        <v>46</v>
      </c>
      <c r="G110">
        <v>0</v>
      </c>
      <c r="H110">
        <f t="shared" si="2"/>
        <v>3</v>
      </c>
      <c r="I110" s="6">
        <f t="shared" si="3"/>
        <v>0.66666666666666663</v>
      </c>
    </row>
    <row r="111" spans="1:9" x14ac:dyDescent="0.2">
      <c r="A111" t="s">
        <v>360</v>
      </c>
      <c r="B111">
        <v>3</v>
      </c>
      <c r="C111" t="s">
        <v>80</v>
      </c>
      <c r="D111" t="s">
        <v>361</v>
      </c>
      <c r="E111" t="s">
        <v>362</v>
      </c>
      <c r="F111" t="s">
        <v>207</v>
      </c>
      <c r="G111">
        <v>0</v>
      </c>
      <c r="H111">
        <f t="shared" si="2"/>
        <v>3</v>
      </c>
      <c r="I111" s="6">
        <f t="shared" si="3"/>
        <v>1</v>
      </c>
    </row>
    <row r="112" spans="1:9" x14ac:dyDescent="0.2">
      <c r="A112" t="s">
        <v>363</v>
      </c>
      <c r="B112">
        <v>12</v>
      </c>
      <c r="C112" t="s">
        <v>22</v>
      </c>
      <c r="D112" t="s">
        <v>364</v>
      </c>
      <c r="E112" t="s">
        <v>365</v>
      </c>
      <c r="F112" t="s">
        <v>104</v>
      </c>
      <c r="G112">
        <v>1</v>
      </c>
      <c r="H112">
        <f t="shared" si="2"/>
        <v>4</v>
      </c>
      <c r="I112" s="6">
        <f t="shared" si="3"/>
        <v>0.25</v>
      </c>
    </row>
    <row r="113" spans="1:9" x14ac:dyDescent="0.2">
      <c r="A113" t="s">
        <v>366</v>
      </c>
      <c r="B113">
        <v>8</v>
      </c>
      <c r="C113" t="s">
        <v>80</v>
      </c>
      <c r="D113" t="s">
        <v>367</v>
      </c>
      <c r="E113" t="s">
        <v>368</v>
      </c>
      <c r="F113" t="s">
        <v>211</v>
      </c>
      <c r="G113">
        <v>1</v>
      </c>
      <c r="H113">
        <f t="shared" si="2"/>
        <v>3</v>
      </c>
      <c r="I113" s="6">
        <f t="shared" si="3"/>
        <v>0.33333333333333331</v>
      </c>
    </row>
    <row r="114" spans="1:9" x14ac:dyDescent="0.2">
      <c r="A114" t="s">
        <v>369</v>
      </c>
      <c r="B114">
        <v>1</v>
      </c>
      <c r="C114" t="s">
        <v>8</v>
      </c>
      <c r="D114" t="s">
        <v>370</v>
      </c>
      <c r="E114" t="s">
        <v>371</v>
      </c>
      <c r="F114" t="s">
        <v>221</v>
      </c>
      <c r="G114">
        <v>0</v>
      </c>
      <c r="H114">
        <f t="shared" si="2"/>
        <v>3</v>
      </c>
      <c r="I114" s="6">
        <f t="shared" si="3"/>
        <v>0.66666666666666663</v>
      </c>
    </row>
    <row r="115" spans="1:9" x14ac:dyDescent="0.2">
      <c r="A115" t="s">
        <v>372</v>
      </c>
      <c r="B115">
        <v>7</v>
      </c>
      <c r="C115" t="s">
        <v>13</v>
      </c>
      <c r="D115" t="s">
        <v>373</v>
      </c>
      <c r="E115" t="s">
        <v>374</v>
      </c>
      <c r="F115" t="s">
        <v>54</v>
      </c>
      <c r="G115">
        <v>0</v>
      </c>
      <c r="H115">
        <f t="shared" si="2"/>
        <v>11</v>
      </c>
      <c r="I115" s="6">
        <f t="shared" si="3"/>
        <v>0.63636363636363635</v>
      </c>
    </row>
    <row r="116" spans="1:9" x14ac:dyDescent="0.2">
      <c r="A116" t="s">
        <v>375</v>
      </c>
      <c r="B116">
        <v>5</v>
      </c>
      <c r="C116" t="s">
        <v>39</v>
      </c>
      <c r="D116" t="s">
        <v>376</v>
      </c>
      <c r="E116" t="s">
        <v>377</v>
      </c>
      <c r="F116" t="s">
        <v>207</v>
      </c>
      <c r="G116">
        <v>1</v>
      </c>
      <c r="H116">
        <f t="shared" si="2"/>
        <v>3</v>
      </c>
      <c r="I116" s="6">
        <f t="shared" si="3"/>
        <v>1</v>
      </c>
    </row>
    <row r="117" spans="1:9" x14ac:dyDescent="0.2">
      <c r="A117" t="s">
        <v>378</v>
      </c>
      <c r="B117">
        <v>3</v>
      </c>
      <c r="C117" t="s">
        <v>22</v>
      </c>
      <c r="D117" t="s">
        <v>379</v>
      </c>
      <c r="E117" t="s">
        <v>380</v>
      </c>
      <c r="F117" t="s">
        <v>58</v>
      </c>
      <c r="G117">
        <v>1</v>
      </c>
      <c r="H117">
        <f t="shared" si="2"/>
        <v>2</v>
      </c>
      <c r="I117" s="6">
        <f t="shared" si="3"/>
        <v>1</v>
      </c>
    </row>
    <row r="118" spans="1:9" x14ac:dyDescent="0.2">
      <c r="A118" t="s">
        <v>381</v>
      </c>
      <c r="B118">
        <v>10</v>
      </c>
      <c r="C118" t="s">
        <v>39</v>
      </c>
      <c r="D118" t="s">
        <v>382</v>
      </c>
      <c r="E118" t="s">
        <v>383</v>
      </c>
      <c r="F118" t="s">
        <v>194</v>
      </c>
      <c r="G118">
        <v>0</v>
      </c>
      <c r="H118">
        <f t="shared" si="2"/>
        <v>3</v>
      </c>
      <c r="I118" s="6">
        <f t="shared" si="3"/>
        <v>1</v>
      </c>
    </row>
    <row r="119" spans="1:9" x14ac:dyDescent="0.2">
      <c r="A119" t="s">
        <v>384</v>
      </c>
      <c r="B119">
        <v>5</v>
      </c>
      <c r="C119" t="s">
        <v>80</v>
      </c>
      <c r="D119" t="s">
        <v>385</v>
      </c>
      <c r="E119" t="s">
        <v>386</v>
      </c>
      <c r="F119" t="s">
        <v>16</v>
      </c>
      <c r="G119">
        <v>0</v>
      </c>
      <c r="H119">
        <f t="shared" si="2"/>
        <v>5</v>
      </c>
      <c r="I119" s="6">
        <f t="shared" si="3"/>
        <v>0.6</v>
      </c>
    </row>
    <row r="120" spans="1:9" x14ac:dyDescent="0.2">
      <c r="A120" t="s">
        <v>387</v>
      </c>
      <c r="B120">
        <v>0</v>
      </c>
      <c r="C120" t="s">
        <v>39</v>
      </c>
      <c r="D120" t="s">
        <v>388</v>
      </c>
      <c r="E120" t="s">
        <v>389</v>
      </c>
      <c r="F120" t="s">
        <v>54</v>
      </c>
      <c r="G120">
        <v>1</v>
      </c>
      <c r="H120">
        <f t="shared" si="2"/>
        <v>11</v>
      </c>
      <c r="I120" s="6">
        <f t="shared" si="3"/>
        <v>0.63636363636363635</v>
      </c>
    </row>
    <row r="121" spans="1:9" x14ac:dyDescent="0.2">
      <c r="A121" t="s">
        <v>390</v>
      </c>
      <c r="B121">
        <v>6</v>
      </c>
      <c r="C121" t="s">
        <v>80</v>
      </c>
      <c r="D121" t="s">
        <v>391</v>
      </c>
      <c r="E121" t="s">
        <v>392</v>
      </c>
      <c r="F121" t="s">
        <v>194</v>
      </c>
      <c r="G121">
        <v>0</v>
      </c>
      <c r="H121">
        <f t="shared" si="2"/>
        <v>3</v>
      </c>
      <c r="I121" s="6">
        <f t="shared" si="3"/>
        <v>1</v>
      </c>
    </row>
    <row r="122" spans="1:9" x14ac:dyDescent="0.2">
      <c r="A122" t="s">
        <v>393</v>
      </c>
      <c r="B122">
        <v>4</v>
      </c>
      <c r="C122" t="s">
        <v>80</v>
      </c>
      <c r="D122" t="s">
        <v>394</v>
      </c>
      <c r="E122" t="s">
        <v>395</v>
      </c>
      <c r="F122" t="s">
        <v>54</v>
      </c>
      <c r="G122">
        <v>0</v>
      </c>
      <c r="H122">
        <f t="shared" si="2"/>
        <v>11</v>
      </c>
      <c r="I122" s="6">
        <f t="shared" si="3"/>
        <v>0.63636363636363635</v>
      </c>
    </row>
    <row r="123" spans="1:9" x14ac:dyDescent="0.2">
      <c r="A123" t="s">
        <v>396</v>
      </c>
      <c r="B123">
        <v>0</v>
      </c>
      <c r="C123" t="s">
        <v>13</v>
      </c>
      <c r="D123" t="s">
        <v>397</v>
      </c>
      <c r="E123" t="s">
        <v>398</v>
      </c>
      <c r="F123" t="s">
        <v>211</v>
      </c>
      <c r="G123">
        <v>1</v>
      </c>
      <c r="H123">
        <f t="shared" si="2"/>
        <v>3</v>
      </c>
      <c r="I123" s="6">
        <f t="shared" si="3"/>
        <v>0.33333333333333331</v>
      </c>
    </row>
    <row r="124" spans="1:9" x14ac:dyDescent="0.2">
      <c r="A124" t="s">
        <v>399</v>
      </c>
      <c r="B124">
        <v>7</v>
      </c>
      <c r="C124" t="s">
        <v>8</v>
      </c>
      <c r="D124" t="s">
        <v>400</v>
      </c>
      <c r="E124" t="s">
        <v>401</v>
      </c>
      <c r="F124" t="s">
        <v>142</v>
      </c>
      <c r="G124">
        <v>1</v>
      </c>
      <c r="H124">
        <f t="shared" si="2"/>
        <v>5</v>
      </c>
      <c r="I124" s="6">
        <f t="shared" si="3"/>
        <v>0.4</v>
      </c>
    </row>
    <row r="125" spans="1:9" x14ac:dyDescent="0.2">
      <c r="A125" t="s">
        <v>402</v>
      </c>
      <c r="B125">
        <v>1</v>
      </c>
      <c r="C125" t="s">
        <v>8</v>
      </c>
      <c r="D125" t="s">
        <v>403</v>
      </c>
      <c r="E125" t="s">
        <v>404</v>
      </c>
      <c r="F125" t="s">
        <v>211</v>
      </c>
      <c r="G125">
        <v>1</v>
      </c>
      <c r="H125">
        <f t="shared" si="2"/>
        <v>3</v>
      </c>
      <c r="I125" s="6">
        <f t="shared" si="3"/>
        <v>0.33333333333333331</v>
      </c>
    </row>
    <row r="126" spans="1:9" x14ac:dyDescent="0.2">
      <c r="A126" t="s">
        <v>405</v>
      </c>
      <c r="B126">
        <v>6</v>
      </c>
      <c r="C126" t="s">
        <v>13</v>
      </c>
      <c r="D126" t="s">
        <v>406</v>
      </c>
      <c r="E126" t="s">
        <v>407</v>
      </c>
      <c r="F126" t="s">
        <v>20</v>
      </c>
      <c r="G126">
        <v>1</v>
      </c>
      <c r="H126">
        <f t="shared" si="2"/>
        <v>8</v>
      </c>
      <c r="I126" s="6">
        <f t="shared" si="3"/>
        <v>0.5</v>
      </c>
    </row>
    <row r="127" spans="1:9" x14ac:dyDescent="0.2">
      <c r="A127" t="s">
        <v>408</v>
      </c>
      <c r="B127">
        <v>11</v>
      </c>
      <c r="C127" t="s">
        <v>80</v>
      </c>
      <c r="D127" t="s">
        <v>409</v>
      </c>
      <c r="E127" t="s">
        <v>410</v>
      </c>
      <c r="F127" t="s">
        <v>33</v>
      </c>
      <c r="G127">
        <v>0</v>
      </c>
      <c r="H127">
        <f t="shared" si="2"/>
        <v>4</v>
      </c>
      <c r="I127" s="6">
        <f t="shared" si="3"/>
        <v>0.5</v>
      </c>
    </row>
    <row r="128" spans="1:9" x14ac:dyDescent="0.2">
      <c r="A128" t="s">
        <v>411</v>
      </c>
      <c r="B128">
        <v>2</v>
      </c>
      <c r="C128" t="s">
        <v>39</v>
      </c>
      <c r="D128" t="s">
        <v>286</v>
      </c>
      <c r="E128" t="s">
        <v>412</v>
      </c>
      <c r="F128" t="s">
        <v>29</v>
      </c>
      <c r="G128">
        <v>0</v>
      </c>
      <c r="H128">
        <f t="shared" si="2"/>
        <v>8</v>
      </c>
      <c r="I128" s="6">
        <f t="shared" si="3"/>
        <v>0.875</v>
      </c>
    </row>
    <row r="129" spans="1:9" x14ac:dyDescent="0.2">
      <c r="A129" t="s">
        <v>413</v>
      </c>
      <c r="B129">
        <v>3</v>
      </c>
      <c r="C129" t="s">
        <v>22</v>
      </c>
      <c r="D129" t="s">
        <v>414</v>
      </c>
      <c r="E129" t="s">
        <v>415</v>
      </c>
      <c r="F129" t="s">
        <v>42</v>
      </c>
      <c r="G129">
        <v>0</v>
      </c>
      <c r="H129">
        <f t="shared" si="2"/>
        <v>4</v>
      </c>
      <c r="I129" s="6">
        <f t="shared" si="3"/>
        <v>1</v>
      </c>
    </row>
    <row r="130" spans="1:9" x14ac:dyDescent="0.2">
      <c r="A130" t="s">
        <v>416</v>
      </c>
      <c r="B130">
        <v>8</v>
      </c>
      <c r="C130" t="s">
        <v>39</v>
      </c>
      <c r="D130" t="s">
        <v>417</v>
      </c>
      <c r="E130" t="s">
        <v>418</v>
      </c>
      <c r="F130" t="s">
        <v>37</v>
      </c>
      <c r="G130">
        <v>0</v>
      </c>
      <c r="H130">
        <f t="shared" ref="H130:H193" si="4">COUNTIF($F$2:$F$100, F130)</f>
        <v>8</v>
      </c>
      <c r="I130" s="6">
        <f t="shared" ref="I130:I193" si="5">SUMIFS($G$2:$G$100, $F$2:$F$100, F130) / COUNTIF($F$2:$F$100, F130)</f>
        <v>0.625</v>
      </c>
    </row>
    <row r="131" spans="1:9" x14ac:dyDescent="0.2">
      <c r="A131" t="s">
        <v>419</v>
      </c>
      <c r="B131">
        <v>2</v>
      </c>
      <c r="C131" t="s">
        <v>8</v>
      </c>
      <c r="D131" t="s">
        <v>420</v>
      </c>
      <c r="E131" t="s">
        <v>421</v>
      </c>
      <c r="F131" t="s">
        <v>11</v>
      </c>
      <c r="G131">
        <v>1</v>
      </c>
      <c r="H131">
        <f t="shared" si="4"/>
        <v>4</v>
      </c>
      <c r="I131" s="6">
        <f t="shared" si="5"/>
        <v>0.5</v>
      </c>
    </row>
    <row r="132" spans="1:9" x14ac:dyDescent="0.2">
      <c r="A132" t="s">
        <v>422</v>
      </c>
      <c r="B132">
        <v>9</v>
      </c>
      <c r="C132" t="s">
        <v>80</v>
      </c>
      <c r="D132" t="s">
        <v>423</v>
      </c>
      <c r="E132" t="s">
        <v>424</v>
      </c>
      <c r="F132" t="s">
        <v>207</v>
      </c>
      <c r="G132">
        <v>1</v>
      </c>
      <c r="H132">
        <f t="shared" si="4"/>
        <v>3</v>
      </c>
      <c r="I132" s="6">
        <f t="shared" si="5"/>
        <v>1</v>
      </c>
    </row>
    <row r="133" spans="1:9" x14ac:dyDescent="0.2">
      <c r="A133" t="s">
        <v>425</v>
      </c>
      <c r="B133">
        <v>2</v>
      </c>
      <c r="C133" t="s">
        <v>39</v>
      </c>
      <c r="D133" t="s">
        <v>426</v>
      </c>
      <c r="E133" t="s">
        <v>427</v>
      </c>
      <c r="F133" t="s">
        <v>104</v>
      </c>
      <c r="G133">
        <v>1</v>
      </c>
      <c r="H133">
        <f t="shared" si="4"/>
        <v>4</v>
      </c>
      <c r="I133" s="6">
        <f t="shared" si="5"/>
        <v>0.25</v>
      </c>
    </row>
    <row r="134" spans="1:9" x14ac:dyDescent="0.2">
      <c r="A134" t="s">
        <v>428</v>
      </c>
      <c r="B134">
        <v>0</v>
      </c>
      <c r="C134" t="s">
        <v>80</v>
      </c>
      <c r="D134" t="s">
        <v>429</v>
      </c>
      <c r="E134" t="s">
        <v>430</v>
      </c>
      <c r="F134" t="s">
        <v>11</v>
      </c>
      <c r="G134">
        <v>0</v>
      </c>
      <c r="H134">
        <f t="shared" si="4"/>
        <v>4</v>
      </c>
      <c r="I134" s="6">
        <f t="shared" si="5"/>
        <v>0.5</v>
      </c>
    </row>
    <row r="135" spans="1:9" x14ac:dyDescent="0.2">
      <c r="A135" t="s">
        <v>431</v>
      </c>
      <c r="B135">
        <v>5</v>
      </c>
      <c r="C135" t="s">
        <v>22</v>
      </c>
      <c r="D135" t="s">
        <v>432</v>
      </c>
      <c r="E135" t="s">
        <v>433</v>
      </c>
      <c r="F135" t="s">
        <v>46</v>
      </c>
      <c r="G135">
        <v>0</v>
      </c>
      <c r="H135">
        <f t="shared" si="4"/>
        <v>3</v>
      </c>
      <c r="I135" s="6">
        <f t="shared" si="5"/>
        <v>0.66666666666666663</v>
      </c>
    </row>
    <row r="136" spans="1:9" x14ac:dyDescent="0.2">
      <c r="A136" t="s">
        <v>434</v>
      </c>
      <c r="B136">
        <v>11</v>
      </c>
      <c r="C136" t="s">
        <v>13</v>
      </c>
      <c r="D136" t="s">
        <v>435</v>
      </c>
      <c r="E136" t="s">
        <v>436</v>
      </c>
      <c r="F136" t="s">
        <v>11</v>
      </c>
      <c r="G136">
        <v>1</v>
      </c>
      <c r="H136">
        <f t="shared" si="4"/>
        <v>4</v>
      </c>
      <c r="I136" s="6">
        <f t="shared" si="5"/>
        <v>0.5</v>
      </c>
    </row>
    <row r="137" spans="1:9" x14ac:dyDescent="0.2">
      <c r="A137" t="s">
        <v>437</v>
      </c>
      <c r="B137">
        <v>2</v>
      </c>
      <c r="C137" t="s">
        <v>39</v>
      </c>
      <c r="D137" t="s">
        <v>438</v>
      </c>
      <c r="E137" t="s">
        <v>439</v>
      </c>
      <c r="F137" t="s">
        <v>207</v>
      </c>
      <c r="G137">
        <v>1</v>
      </c>
      <c r="H137">
        <f t="shared" si="4"/>
        <v>3</v>
      </c>
      <c r="I137" s="6">
        <f t="shared" si="5"/>
        <v>1</v>
      </c>
    </row>
    <row r="138" spans="1:9" x14ac:dyDescent="0.2">
      <c r="A138" t="s">
        <v>440</v>
      </c>
      <c r="B138">
        <v>0</v>
      </c>
      <c r="C138" t="s">
        <v>8</v>
      </c>
      <c r="D138" t="s">
        <v>441</v>
      </c>
      <c r="E138" t="s">
        <v>442</v>
      </c>
      <c r="F138" t="s">
        <v>142</v>
      </c>
      <c r="G138">
        <v>0</v>
      </c>
      <c r="H138">
        <f t="shared" si="4"/>
        <v>5</v>
      </c>
      <c r="I138" s="6">
        <f t="shared" si="5"/>
        <v>0.4</v>
      </c>
    </row>
    <row r="139" spans="1:9" x14ac:dyDescent="0.2">
      <c r="A139" t="s">
        <v>443</v>
      </c>
      <c r="B139">
        <v>5</v>
      </c>
      <c r="C139" t="s">
        <v>39</v>
      </c>
      <c r="D139" t="s">
        <v>444</v>
      </c>
      <c r="E139" t="s">
        <v>445</v>
      </c>
      <c r="F139" t="s">
        <v>72</v>
      </c>
      <c r="G139">
        <v>1</v>
      </c>
      <c r="H139">
        <f t="shared" si="4"/>
        <v>4</v>
      </c>
      <c r="I139" s="6">
        <f t="shared" si="5"/>
        <v>0.5</v>
      </c>
    </row>
    <row r="140" spans="1:9" x14ac:dyDescent="0.2">
      <c r="A140" t="s">
        <v>446</v>
      </c>
      <c r="B140">
        <v>8</v>
      </c>
      <c r="C140" t="s">
        <v>13</v>
      </c>
      <c r="D140" t="s">
        <v>447</v>
      </c>
      <c r="E140" t="s">
        <v>448</v>
      </c>
      <c r="F140" t="s">
        <v>207</v>
      </c>
      <c r="G140">
        <v>0</v>
      </c>
      <c r="H140">
        <f t="shared" si="4"/>
        <v>3</v>
      </c>
      <c r="I140" s="6">
        <f t="shared" si="5"/>
        <v>1</v>
      </c>
    </row>
    <row r="141" spans="1:9" x14ac:dyDescent="0.2">
      <c r="A141" t="s">
        <v>449</v>
      </c>
      <c r="B141">
        <v>1</v>
      </c>
      <c r="C141" t="s">
        <v>13</v>
      </c>
      <c r="D141" t="s">
        <v>450</v>
      </c>
      <c r="E141" t="s">
        <v>451</v>
      </c>
      <c r="F141" t="s">
        <v>194</v>
      </c>
      <c r="G141">
        <v>1</v>
      </c>
      <c r="H141">
        <f t="shared" si="4"/>
        <v>3</v>
      </c>
      <c r="I141" s="6">
        <f t="shared" si="5"/>
        <v>1</v>
      </c>
    </row>
    <row r="142" spans="1:9" x14ac:dyDescent="0.2">
      <c r="A142" t="s">
        <v>452</v>
      </c>
      <c r="B142">
        <v>1</v>
      </c>
      <c r="C142" t="s">
        <v>13</v>
      </c>
      <c r="D142" t="s">
        <v>453</v>
      </c>
      <c r="E142" t="s">
        <v>454</v>
      </c>
      <c r="F142" t="s">
        <v>221</v>
      </c>
      <c r="G142">
        <v>0</v>
      </c>
      <c r="H142">
        <f t="shared" si="4"/>
        <v>3</v>
      </c>
      <c r="I142" s="6">
        <f t="shared" si="5"/>
        <v>0.66666666666666663</v>
      </c>
    </row>
    <row r="143" spans="1:9" x14ac:dyDescent="0.2">
      <c r="A143" t="s">
        <v>455</v>
      </c>
      <c r="B143">
        <v>3</v>
      </c>
      <c r="C143" t="s">
        <v>80</v>
      </c>
      <c r="D143" t="s">
        <v>456</v>
      </c>
      <c r="E143" t="s">
        <v>457</v>
      </c>
      <c r="F143" t="s">
        <v>42</v>
      </c>
      <c r="G143">
        <v>1</v>
      </c>
      <c r="H143">
        <f t="shared" si="4"/>
        <v>4</v>
      </c>
      <c r="I143" s="6">
        <f t="shared" si="5"/>
        <v>1</v>
      </c>
    </row>
    <row r="144" spans="1:9" x14ac:dyDescent="0.2">
      <c r="A144" t="s">
        <v>458</v>
      </c>
      <c r="B144">
        <v>9</v>
      </c>
      <c r="C144" t="s">
        <v>22</v>
      </c>
      <c r="D144" t="s">
        <v>459</v>
      </c>
      <c r="E144" t="s">
        <v>460</v>
      </c>
      <c r="F144" t="s">
        <v>16</v>
      </c>
      <c r="G144">
        <v>1</v>
      </c>
      <c r="H144">
        <f t="shared" si="4"/>
        <v>5</v>
      </c>
      <c r="I144" s="6">
        <f t="shared" si="5"/>
        <v>0.6</v>
      </c>
    </row>
    <row r="145" spans="1:9" x14ac:dyDescent="0.2">
      <c r="A145" t="s">
        <v>461</v>
      </c>
      <c r="B145">
        <v>10</v>
      </c>
      <c r="C145" t="s">
        <v>8</v>
      </c>
      <c r="D145" t="s">
        <v>462</v>
      </c>
      <c r="E145" t="s">
        <v>463</v>
      </c>
      <c r="F145" t="s">
        <v>142</v>
      </c>
      <c r="G145">
        <v>1</v>
      </c>
      <c r="H145">
        <f t="shared" si="4"/>
        <v>5</v>
      </c>
      <c r="I145" s="6">
        <f t="shared" si="5"/>
        <v>0.4</v>
      </c>
    </row>
    <row r="146" spans="1:9" x14ac:dyDescent="0.2">
      <c r="A146" t="s">
        <v>464</v>
      </c>
      <c r="B146">
        <v>1</v>
      </c>
      <c r="C146" t="s">
        <v>13</v>
      </c>
      <c r="D146" t="s">
        <v>465</v>
      </c>
      <c r="E146" t="s">
        <v>466</v>
      </c>
      <c r="F146" t="s">
        <v>207</v>
      </c>
      <c r="G146">
        <v>1</v>
      </c>
      <c r="H146">
        <f t="shared" si="4"/>
        <v>3</v>
      </c>
      <c r="I146" s="6">
        <f t="shared" si="5"/>
        <v>1</v>
      </c>
    </row>
    <row r="147" spans="1:9" x14ac:dyDescent="0.2">
      <c r="A147" t="s">
        <v>467</v>
      </c>
      <c r="B147">
        <v>3</v>
      </c>
      <c r="C147" t="s">
        <v>39</v>
      </c>
      <c r="D147" t="s">
        <v>468</v>
      </c>
      <c r="E147" t="s">
        <v>469</v>
      </c>
      <c r="F147" t="s">
        <v>11</v>
      </c>
      <c r="G147">
        <v>0</v>
      </c>
      <c r="H147">
        <f t="shared" si="4"/>
        <v>4</v>
      </c>
      <c r="I147" s="6">
        <f t="shared" si="5"/>
        <v>0.5</v>
      </c>
    </row>
    <row r="148" spans="1:9" x14ac:dyDescent="0.2">
      <c r="A148" t="s">
        <v>470</v>
      </c>
      <c r="B148">
        <v>1</v>
      </c>
      <c r="C148" t="s">
        <v>39</v>
      </c>
      <c r="D148" t="s">
        <v>471</v>
      </c>
      <c r="E148" t="s">
        <v>472</v>
      </c>
      <c r="F148" t="s">
        <v>37</v>
      </c>
      <c r="G148">
        <v>0</v>
      </c>
      <c r="H148">
        <f t="shared" si="4"/>
        <v>8</v>
      </c>
      <c r="I148" s="6">
        <f t="shared" si="5"/>
        <v>0.625</v>
      </c>
    </row>
    <row r="149" spans="1:9" x14ac:dyDescent="0.2">
      <c r="A149" t="s">
        <v>473</v>
      </c>
      <c r="B149">
        <v>9</v>
      </c>
      <c r="C149" t="s">
        <v>13</v>
      </c>
      <c r="D149" t="s">
        <v>474</v>
      </c>
      <c r="E149" t="s">
        <v>475</v>
      </c>
      <c r="F149" t="s">
        <v>104</v>
      </c>
      <c r="G149">
        <v>1</v>
      </c>
      <c r="H149">
        <f t="shared" si="4"/>
        <v>4</v>
      </c>
      <c r="I149" s="6">
        <f t="shared" si="5"/>
        <v>0.25</v>
      </c>
    </row>
    <row r="150" spans="1:9" x14ac:dyDescent="0.2">
      <c r="A150" t="s">
        <v>476</v>
      </c>
      <c r="B150">
        <v>11</v>
      </c>
      <c r="C150" t="s">
        <v>8</v>
      </c>
      <c r="D150" t="s">
        <v>477</v>
      </c>
      <c r="E150" t="s">
        <v>478</v>
      </c>
      <c r="F150" t="s">
        <v>104</v>
      </c>
      <c r="G150">
        <v>0</v>
      </c>
      <c r="H150">
        <f t="shared" si="4"/>
        <v>4</v>
      </c>
      <c r="I150" s="6">
        <f t="shared" si="5"/>
        <v>0.25</v>
      </c>
    </row>
    <row r="151" spans="1:9" x14ac:dyDescent="0.2">
      <c r="A151" t="s">
        <v>479</v>
      </c>
      <c r="B151">
        <v>8</v>
      </c>
      <c r="C151" t="s">
        <v>22</v>
      </c>
      <c r="D151" t="s">
        <v>480</v>
      </c>
      <c r="E151" t="s">
        <v>481</v>
      </c>
      <c r="F151" t="s">
        <v>108</v>
      </c>
      <c r="G151">
        <v>0</v>
      </c>
      <c r="H151">
        <f t="shared" si="4"/>
        <v>2</v>
      </c>
      <c r="I151" s="6">
        <f t="shared" si="5"/>
        <v>1</v>
      </c>
    </row>
    <row r="152" spans="1:9" x14ac:dyDescent="0.2">
      <c r="A152" t="s">
        <v>482</v>
      </c>
      <c r="B152">
        <v>3</v>
      </c>
      <c r="C152" t="s">
        <v>13</v>
      </c>
      <c r="D152" t="s">
        <v>292</v>
      </c>
      <c r="E152" t="s">
        <v>483</v>
      </c>
      <c r="F152" t="s">
        <v>54</v>
      </c>
      <c r="G152">
        <v>0</v>
      </c>
      <c r="H152">
        <f t="shared" si="4"/>
        <v>11</v>
      </c>
      <c r="I152" s="6">
        <f t="shared" si="5"/>
        <v>0.63636363636363635</v>
      </c>
    </row>
    <row r="153" spans="1:9" x14ac:dyDescent="0.2">
      <c r="A153" t="s">
        <v>484</v>
      </c>
      <c r="B153">
        <v>9</v>
      </c>
      <c r="C153" t="s">
        <v>22</v>
      </c>
      <c r="D153" t="s">
        <v>485</v>
      </c>
      <c r="E153" t="s">
        <v>486</v>
      </c>
      <c r="F153" t="s">
        <v>207</v>
      </c>
      <c r="G153">
        <v>0</v>
      </c>
      <c r="H153">
        <f t="shared" si="4"/>
        <v>3</v>
      </c>
      <c r="I153" s="6">
        <f t="shared" si="5"/>
        <v>1</v>
      </c>
    </row>
    <row r="154" spans="1:9" x14ac:dyDescent="0.2">
      <c r="A154" t="s">
        <v>487</v>
      </c>
      <c r="B154">
        <v>1</v>
      </c>
      <c r="C154" t="s">
        <v>22</v>
      </c>
      <c r="D154" t="s">
        <v>488</v>
      </c>
      <c r="E154" t="s">
        <v>489</v>
      </c>
      <c r="F154" t="s">
        <v>37</v>
      </c>
      <c r="G154">
        <v>0</v>
      </c>
      <c r="H154">
        <f t="shared" si="4"/>
        <v>8</v>
      </c>
      <c r="I154" s="6">
        <f t="shared" si="5"/>
        <v>0.625</v>
      </c>
    </row>
    <row r="155" spans="1:9" x14ac:dyDescent="0.2">
      <c r="A155" t="s">
        <v>490</v>
      </c>
      <c r="B155">
        <v>1</v>
      </c>
      <c r="C155" t="s">
        <v>39</v>
      </c>
      <c r="D155" t="s">
        <v>491</v>
      </c>
      <c r="E155" t="s">
        <v>492</v>
      </c>
      <c r="F155" t="s">
        <v>54</v>
      </c>
      <c r="G155">
        <v>1</v>
      </c>
      <c r="H155">
        <f t="shared" si="4"/>
        <v>11</v>
      </c>
      <c r="I155" s="6">
        <f t="shared" si="5"/>
        <v>0.63636363636363635</v>
      </c>
    </row>
    <row r="156" spans="1:9" x14ac:dyDescent="0.2">
      <c r="A156" t="s">
        <v>493</v>
      </c>
      <c r="B156">
        <v>0</v>
      </c>
      <c r="C156" t="s">
        <v>39</v>
      </c>
      <c r="D156" t="s">
        <v>494</v>
      </c>
      <c r="E156" t="s">
        <v>495</v>
      </c>
      <c r="F156" t="s">
        <v>221</v>
      </c>
      <c r="G156">
        <v>0</v>
      </c>
      <c r="H156">
        <f t="shared" si="4"/>
        <v>3</v>
      </c>
      <c r="I156" s="6">
        <f t="shared" si="5"/>
        <v>0.66666666666666663</v>
      </c>
    </row>
    <row r="157" spans="1:9" x14ac:dyDescent="0.2">
      <c r="A157" t="s">
        <v>496</v>
      </c>
      <c r="B157">
        <v>9</v>
      </c>
      <c r="C157" t="s">
        <v>13</v>
      </c>
      <c r="D157" t="s">
        <v>497</v>
      </c>
      <c r="E157" t="s">
        <v>498</v>
      </c>
      <c r="F157" t="s">
        <v>20</v>
      </c>
      <c r="G157">
        <v>1</v>
      </c>
      <c r="H157">
        <f t="shared" si="4"/>
        <v>8</v>
      </c>
      <c r="I157" s="6">
        <f t="shared" si="5"/>
        <v>0.5</v>
      </c>
    </row>
    <row r="158" spans="1:9" x14ac:dyDescent="0.2">
      <c r="A158" t="s">
        <v>499</v>
      </c>
      <c r="B158">
        <v>6</v>
      </c>
      <c r="C158" t="s">
        <v>22</v>
      </c>
      <c r="D158" t="s">
        <v>500</v>
      </c>
      <c r="E158" t="s">
        <v>501</v>
      </c>
      <c r="F158" t="s">
        <v>54</v>
      </c>
      <c r="G158">
        <v>1</v>
      </c>
      <c r="H158">
        <f t="shared" si="4"/>
        <v>11</v>
      </c>
      <c r="I158" s="6">
        <f t="shared" si="5"/>
        <v>0.63636363636363635</v>
      </c>
    </row>
    <row r="159" spans="1:9" x14ac:dyDescent="0.2">
      <c r="A159" t="s">
        <v>502</v>
      </c>
      <c r="B159">
        <v>0</v>
      </c>
      <c r="C159" t="s">
        <v>22</v>
      </c>
      <c r="D159" t="s">
        <v>503</v>
      </c>
      <c r="E159" t="s">
        <v>504</v>
      </c>
      <c r="F159" t="s">
        <v>20</v>
      </c>
      <c r="G159">
        <v>1</v>
      </c>
      <c r="H159">
        <f t="shared" si="4"/>
        <v>8</v>
      </c>
      <c r="I159" s="6">
        <f t="shared" si="5"/>
        <v>0.5</v>
      </c>
    </row>
    <row r="160" spans="1:9" x14ac:dyDescent="0.2">
      <c r="A160" t="s">
        <v>505</v>
      </c>
      <c r="B160">
        <v>8</v>
      </c>
      <c r="C160" t="s">
        <v>22</v>
      </c>
      <c r="D160" t="s">
        <v>506</v>
      </c>
      <c r="E160" t="s">
        <v>507</v>
      </c>
      <c r="F160" t="s">
        <v>211</v>
      </c>
      <c r="G160">
        <v>1</v>
      </c>
      <c r="H160">
        <f t="shared" si="4"/>
        <v>3</v>
      </c>
      <c r="I160" s="6">
        <f t="shared" si="5"/>
        <v>0.33333333333333331</v>
      </c>
    </row>
    <row r="161" spans="1:9" x14ac:dyDescent="0.2">
      <c r="A161" t="s">
        <v>508</v>
      </c>
      <c r="B161">
        <v>0</v>
      </c>
      <c r="C161" t="s">
        <v>13</v>
      </c>
      <c r="D161" t="s">
        <v>509</v>
      </c>
      <c r="E161" t="s">
        <v>510</v>
      </c>
      <c r="F161" t="s">
        <v>211</v>
      </c>
      <c r="G161">
        <v>0</v>
      </c>
      <c r="H161">
        <f t="shared" si="4"/>
        <v>3</v>
      </c>
      <c r="I161" s="6">
        <f t="shared" si="5"/>
        <v>0.33333333333333331</v>
      </c>
    </row>
    <row r="162" spans="1:9" x14ac:dyDescent="0.2">
      <c r="A162" t="s">
        <v>511</v>
      </c>
      <c r="B162">
        <v>1</v>
      </c>
      <c r="C162" t="s">
        <v>8</v>
      </c>
      <c r="D162" t="s">
        <v>512</v>
      </c>
      <c r="E162" t="s">
        <v>513</v>
      </c>
      <c r="F162" t="s">
        <v>211</v>
      </c>
      <c r="G162">
        <v>0</v>
      </c>
      <c r="H162">
        <f t="shared" si="4"/>
        <v>3</v>
      </c>
      <c r="I162" s="6">
        <f t="shared" si="5"/>
        <v>0.33333333333333331</v>
      </c>
    </row>
    <row r="163" spans="1:9" x14ac:dyDescent="0.2">
      <c r="A163" t="s">
        <v>514</v>
      </c>
      <c r="B163">
        <v>1</v>
      </c>
      <c r="C163" t="s">
        <v>22</v>
      </c>
      <c r="D163" t="s">
        <v>515</v>
      </c>
      <c r="E163" t="s">
        <v>516</v>
      </c>
      <c r="F163" t="s">
        <v>25</v>
      </c>
      <c r="G163">
        <v>0</v>
      </c>
      <c r="H163">
        <f t="shared" si="4"/>
        <v>7</v>
      </c>
      <c r="I163" s="6">
        <f t="shared" si="5"/>
        <v>0.7142857142857143</v>
      </c>
    </row>
    <row r="164" spans="1:9" x14ac:dyDescent="0.2">
      <c r="A164" t="s">
        <v>517</v>
      </c>
      <c r="B164">
        <v>1</v>
      </c>
      <c r="C164" t="s">
        <v>39</v>
      </c>
      <c r="D164" t="s">
        <v>518</v>
      </c>
      <c r="E164" t="s">
        <v>519</v>
      </c>
      <c r="F164" t="s">
        <v>58</v>
      </c>
      <c r="G164">
        <v>1</v>
      </c>
      <c r="H164">
        <f t="shared" si="4"/>
        <v>2</v>
      </c>
      <c r="I164" s="6">
        <f t="shared" si="5"/>
        <v>1</v>
      </c>
    </row>
    <row r="165" spans="1:9" x14ac:dyDescent="0.2">
      <c r="A165" t="s">
        <v>520</v>
      </c>
      <c r="B165">
        <v>0</v>
      </c>
      <c r="C165" t="s">
        <v>8</v>
      </c>
      <c r="D165" t="s">
        <v>521</v>
      </c>
      <c r="E165" t="s">
        <v>522</v>
      </c>
      <c r="F165" t="s">
        <v>58</v>
      </c>
      <c r="G165">
        <v>0</v>
      </c>
      <c r="H165">
        <f t="shared" si="4"/>
        <v>2</v>
      </c>
      <c r="I165" s="6">
        <f t="shared" si="5"/>
        <v>1</v>
      </c>
    </row>
    <row r="166" spans="1:9" x14ac:dyDescent="0.2">
      <c r="A166" t="s">
        <v>523</v>
      </c>
      <c r="B166">
        <v>9</v>
      </c>
      <c r="C166" t="s">
        <v>13</v>
      </c>
      <c r="D166" t="s">
        <v>524</v>
      </c>
      <c r="E166" t="s">
        <v>525</v>
      </c>
      <c r="F166" t="s">
        <v>11</v>
      </c>
      <c r="G166">
        <v>0</v>
      </c>
      <c r="H166">
        <f t="shared" si="4"/>
        <v>4</v>
      </c>
      <c r="I166" s="6">
        <f t="shared" si="5"/>
        <v>0.5</v>
      </c>
    </row>
    <row r="167" spans="1:9" x14ac:dyDescent="0.2">
      <c r="A167" t="s">
        <v>526</v>
      </c>
      <c r="B167">
        <v>2</v>
      </c>
      <c r="C167" t="s">
        <v>22</v>
      </c>
      <c r="D167" t="s">
        <v>527</v>
      </c>
      <c r="E167" t="s">
        <v>528</v>
      </c>
      <c r="F167" t="s">
        <v>33</v>
      </c>
      <c r="G167">
        <v>0</v>
      </c>
      <c r="H167">
        <f t="shared" si="4"/>
        <v>4</v>
      </c>
      <c r="I167" s="6">
        <f t="shared" si="5"/>
        <v>0.5</v>
      </c>
    </row>
    <row r="168" spans="1:9" x14ac:dyDescent="0.2">
      <c r="A168" t="s">
        <v>529</v>
      </c>
      <c r="B168">
        <v>4</v>
      </c>
      <c r="C168" t="s">
        <v>22</v>
      </c>
      <c r="D168" t="s">
        <v>530</v>
      </c>
      <c r="E168" t="s">
        <v>531</v>
      </c>
      <c r="F168" t="s">
        <v>72</v>
      </c>
      <c r="G168">
        <v>1</v>
      </c>
      <c r="H168">
        <f t="shared" si="4"/>
        <v>4</v>
      </c>
      <c r="I168" s="6">
        <f t="shared" si="5"/>
        <v>0.5</v>
      </c>
    </row>
    <row r="169" spans="1:9" x14ac:dyDescent="0.2">
      <c r="A169" t="s">
        <v>532</v>
      </c>
      <c r="B169">
        <v>6</v>
      </c>
      <c r="C169" t="s">
        <v>39</v>
      </c>
      <c r="D169" t="s">
        <v>533</v>
      </c>
      <c r="E169" t="s">
        <v>534</v>
      </c>
      <c r="F169" t="s">
        <v>207</v>
      </c>
      <c r="G169">
        <v>0</v>
      </c>
      <c r="H169">
        <f t="shared" si="4"/>
        <v>3</v>
      </c>
      <c r="I169" s="6">
        <f t="shared" si="5"/>
        <v>1</v>
      </c>
    </row>
    <row r="170" spans="1:9" x14ac:dyDescent="0.2">
      <c r="A170" t="s">
        <v>535</v>
      </c>
      <c r="B170">
        <v>7</v>
      </c>
      <c r="C170" t="s">
        <v>13</v>
      </c>
      <c r="D170" t="s">
        <v>536</v>
      </c>
      <c r="E170" t="s">
        <v>537</v>
      </c>
      <c r="F170" t="s">
        <v>20</v>
      </c>
      <c r="G170">
        <v>1</v>
      </c>
      <c r="H170">
        <f t="shared" si="4"/>
        <v>8</v>
      </c>
      <c r="I170" s="6">
        <f t="shared" si="5"/>
        <v>0.5</v>
      </c>
    </row>
    <row r="171" spans="1:9" x14ac:dyDescent="0.2">
      <c r="A171" t="s">
        <v>538</v>
      </c>
      <c r="B171">
        <v>10</v>
      </c>
      <c r="C171" t="s">
        <v>22</v>
      </c>
      <c r="D171" t="s">
        <v>539</v>
      </c>
      <c r="E171" t="s">
        <v>540</v>
      </c>
      <c r="F171" t="s">
        <v>211</v>
      </c>
      <c r="G171">
        <v>1</v>
      </c>
      <c r="H171">
        <f t="shared" si="4"/>
        <v>3</v>
      </c>
      <c r="I171" s="6">
        <f t="shared" si="5"/>
        <v>0.33333333333333331</v>
      </c>
    </row>
    <row r="172" spans="1:9" x14ac:dyDescent="0.2">
      <c r="A172" t="s">
        <v>541</v>
      </c>
      <c r="B172">
        <v>7</v>
      </c>
      <c r="C172" t="s">
        <v>22</v>
      </c>
      <c r="D172" t="s">
        <v>542</v>
      </c>
      <c r="E172" t="s">
        <v>543</v>
      </c>
      <c r="F172" t="s">
        <v>11</v>
      </c>
      <c r="G172">
        <v>1</v>
      </c>
      <c r="H172">
        <f t="shared" si="4"/>
        <v>4</v>
      </c>
      <c r="I172" s="6">
        <f t="shared" si="5"/>
        <v>0.5</v>
      </c>
    </row>
    <row r="173" spans="1:9" x14ac:dyDescent="0.2">
      <c r="A173" t="s">
        <v>544</v>
      </c>
      <c r="B173">
        <v>4</v>
      </c>
      <c r="C173" t="s">
        <v>22</v>
      </c>
      <c r="D173" t="s">
        <v>545</v>
      </c>
      <c r="E173" t="s">
        <v>546</v>
      </c>
      <c r="F173" t="s">
        <v>37</v>
      </c>
      <c r="G173">
        <v>1</v>
      </c>
      <c r="H173">
        <f t="shared" si="4"/>
        <v>8</v>
      </c>
      <c r="I173" s="6">
        <f t="shared" si="5"/>
        <v>0.625</v>
      </c>
    </row>
    <row r="174" spans="1:9" x14ac:dyDescent="0.2">
      <c r="A174" t="s">
        <v>547</v>
      </c>
      <c r="B174">
        <v>8</v>
      </c>
      <c r="C174" t="s">
        <v>8</v>
      </c>
      <c r="D174" t="s">
        <v>548</v>
      </c>
      <c r="E174" t="s">
        <v>549</v>
      </c>
      <c r="F174" t="s">
        <v>42</v>
      </c>
      <c r="G174">
        <v>1</v>
      </c>
      <c r="H174">
        <f t="shared" si="4"/>
        <v>4</v>
      </c>
      <c r="I174" s="6">
        <f t="shared" si="5"/>
        <v>1</v>
      </c>
    </row>
    <row r="175" spans="1:9" x14ac:dyDescent="0.2">
      <c r="A175" t="s">
        <v>550</v>
      </c>
      <c r="B175">
        <v>4</v>
      </c>
      <c r="C175" t="s">
        <v>39</v>
      </c>
      <c r="D175" t="s">
        <v>551</v>
      </c>
      <c r="E175" t="s">
        <v>552</v>
      </c>
      <c r="F175" t="s">
        <v>46</v>
      </c>
      <c r="G175">
        <v>1</v>
      </c>
      <c r="H175">
        <f t="shared" si="4"/>
        <v>3</v>
      </c>
      <c r="I175" s="6">
        <f t="shared" si="5"/>
        <v>0.66666666666666663</v>
      </c>
    </row>
    <row r="176" spans="1:9" x14ac:dyDescent="0.2">
      <c r="A176" t="s">
        <v>553</v>
      </c>
      <c r="B176">
        <v>1</v>
      </c>
      <c r="C176" t="s">
        <v>13</v>
      </c>
      <c r="D176" t="s">
        <v>554</v>
      </c>
      <c r="E176" t="s">
        <v>555</v>
      </c>
      <c r="F176" t="s">
        <v>46</v>
      </c>
      <c r="G176">
        <v>1</v>
      </c>
      <c r="H176">
        <f t="shared" si="4"/>
        <v>3</v>
      </c>
      <c r="I176" s="6">
        <f t="shared" si="5"/>
        <v>0.66666666666666663</v>
      </c>
    </row>
    <row r="177" spans="1:9" x14ac:dyDescent="0.2">
      <c r="A177" t="s">
        <v>556</v>
      </c>
      <c r="B177">
        <v>1</v>
      </c>
      <c r="C177" t="s">
        <v>39</v>
      </c>
      <c r="D177" t="s">
        <v>557</v>
      </c>
      <c r="E177" t="s">
        <v>558</v>
      </c>
      <c r="F177" t="s">
        <v>104</v>
      </c>
      <c r="G177">
        <v>0</v>
      </c>
      <c r="H177">
        <f t="shared" si="4"/>
        <v>4</v>
      </c>
      <c r="I177" s="6">
        <f t="shared" si="5"/>
        <v>0.25</v>
      </c>
    </row>
    <row r="178" spans="1:9" x14ac:dyDescent="0.2">
      <c r="A178" t="s">
        <v>559</v>
      </c>
      <c r="B178">
        <v>6</v>
      </c>
      <c r="C178" t="s">
        <v>13</v>
      </c>
      <c r="D178" t="s">
        <v>560</v>
      </c>
      <c r="E178" t="s">
        <v>561</v>
      </c>
      <c r="F178" t="s">
        <v>46</v>
      </c>
      <c r="G178">
        <v>0</v>
      </c>
      <c r="H178">
        <f t="shared" si="4"/>
        <v>3</v>
      </c>
      <c r="I178" s="6">
        <f t="shared" si="5"/>
        <v>0.66666666666666663</v>
      </c>
    </row>
    <row r="179" spans="1:9" x14ac:dyDescent="0.2">
      <c r="A179" t="s">
        <v>562</v>
      </c>
      <c r="B179">
        <v>2</v>
      </c>
      <c r="C179" t="s">
        <v>8</v>
      </c>
      <c r="D179" t="s">
        <v>563</v>
      </c>
      <c r="E179" t="s">
        <v>564</v>
      </c>
      <c r="F179" t="s">
        <v>72</v>
      </c>
      <c r="G179">
        <v>1</v>
      </c>
      <c r="H179">
        <f t="shared" si="4"/>
        <v>4</v>
      </c>
      <c r="I179" s="6">
        <f t="shared" si="5"/>
        <v>0.5</v>
      </c>
    </row>
    <row r="180" spans="1:9" x14ac:dyDescent="0.2">
      <c r="A180" t="s">
        <v>565</v>
      </c>
      <c r="B180">
        <v>0</v>
      </c>
      <c r="C180" t="s">
        <v>39</v>
      </c>
      <c r="D180" t="s">
        <v>566</v>
      </c>
      <c r="E180" t="s">
        <v>567</v>
      </c>
      <c r="F180" t="s">
        <v>25</v>
      </c>
      <c r="G180">
        <v>0</v>
      </c>
      <c r="H180">
        <f t="shared" si="4"/>
        <v>7</v>
      </c>
      <c r="I180" s="6">
        <f t="shared" si="5"/>
        <v>0.7142857142857143</v>
      </c>
    </row>
    <row r="181" spans="1:9" x14ac:dyDescent="0.2">
      <c r="A181" t="s">
        <v>568</v>
      </c>
      <c r="B181">
        <v>7</v>
      </c>
      <c r="C181" t="s">
        <v>22</v>
      </c>
      <c r="D181" t="s">
        <v>569</v>
      </c>
      <c r="E181" t="s">
        <v>570</v>
      </c>
      <c r="F181" t="s">
        <v>42</v>
      </c>
      <c r="G181">
        <v>0</v>
      </c>
      <c r="H181">
        <f t="shared" si="4"/>
        <v>4</v>
      </c>
      <c r="I181" s="6">
        <f t="shared" si="5"/>
        <v>1</v>
      </c>
    </row>
    <row r="182" spans="1:9" x14ac:dyDescent="0.2">
      <c r="A182" t="s">
        <v>571</v>
      </c>
      <c r="B182">
        <v>9</v>
      </c>
      <c r="C182" t="s">
        <v>13</v>
      </c>
      <c r="D182" t="s">
        <v>572</v>
      </c>
      <c r="E182" t="s">
        <v>573</v>
      </c>
      <c r="F182" t="s">
        <v>33</v>
      </c>
      <c r="G182">
        <v>0</v>
      </c>
      <c r="H182">
        <f t="shared" si="4"/>
        <v>4</v>
      </c>
      <c r="I182" s="6">
        <f t="shared" si="5"/>
        <v>0.5</v>
      </c>
    </row>
    <row r="183" spans="1:9" x14ac:dyDescent="0.2">
      <c r="A183" t="s">
        <v>574</v>
      </c>
      <c r="B183">
        <v>1</v>
      </c>
      <c r="C183" t="s">
        <v>13</v>
      </c>
      <c r="D183" t="s">
        <v>575</v>
      </c>
      <c r="E183" t="s">
        <v>576</v>
      </c>
      <c r="F183" t="s">
        <v>46</v>
      </c>
      <c r="G183">
        <v>0</v>
      </c>
      <c r="H183">
        <f t="shared" si="4"/>
        <v>3</v>
      </c>
      <c r="I183" s="6">
        <f t="shared" si="5"/>
        <v>0.66666666666666663</v>
      </c>
    </row>
    <row r="184" spans="1:9" x14ac:dyDescent="0.2">
      <c r="A184" t="s">
        <v>577</v>
      </c>
      <c r="B184">
        <v>8</v>
      </c>
      <c r="C184" t="s">
        <v>8</v>
      </c>
      <c r="D184" t="s">
        <v>578</v>
      </c>
      <c r="E184" t="s">
        <v>579</v>
      </c>
      <c r="F184" t="s">
        <v>54</v>
      </c>
      <c r="G184">
        <v>1</v>
      </c>
      <c r="H184">
        <f t="shared" si="4"/>
        <v>11</v>
      </c>
      <c r="I184" s="6">
        <f t="shared" si="5"/>
        <v>0.63636363636363635</v>
      </c>
    </row>
    <row r="185" spans="1:9" x14ac:dyDescent="0.2">
      <c r="A185" t="s">
        <v>580</v>
      </c>
      <c r="B185">
        <v>3</v>
      </c>
      <c r="C185" t="s">
        <v>80</v>
      </c>
      <c r="D185" t="s">
        <v>581</v>
      </c>
      <c r="E185" t="s">
        <v>582</v>
      </c>
      <c r="F185" t="s">
        <v>104</v>
      </c>
      <c r="G185">
        <v>1</v>
      </c>
      <c r="H185">
        <f t="shared" si="4"/>
        <v>4</v>
      </c>
      <c r="I185" s="6">
        <f t="shared" si="5"/>
        <v>0.25</v>
      </c>
    </row>
    <row r="186" spans="1:9" x14ac:dyDescent="0.2">
      <c r="A186" t="s">
        <v>583</v>
      </c>
      <c r="B186">
        <v>8</v>
      </c>
      <c r="C186" t="s">
        <v>80</v>
      </c>
      <c r="D186" t="s">
        <v>584</v>
      </c>
      <c r="E186" t="s">
        <v>585</v>
      </c>
      <c r="F186" t="s">
        <v>25</v>
      </c>
      <c r="G186">
        <v>1</v>
      </c>
      <c r="H186">
        <f t="shared" si="4"/>
        <v>7</v>
      </c>
      <c r="I186" s="6">
        <f t="shared" si="5"/>
        <v>0.7142857142857143</v>
      </c>
    </row>
    <row r="187" spans="1:9" x14ac:dyDescent="0.2">
      <c r="A187" t="s">
        <v>586</v>
      </c>
      <c r="B187">
        <v>9</v>
      </c>
      <c r="C187" t="s">
        <v>13</v>
      </c>
      <c r="D187" t="s">
        <v>587</v>
      </c>
      <c r="E187" t="s">
        <v>588</v>
      </c>
      <c r="F187" t="s">
        <v>211</v>
      </c>
      <c r="G187">
        <v>0</v>
      </c>
      <c r="H187">
        <f t="shared" si="4"/>
        <v>3</v>
      </c>
      <c r="I187" s="6">
        <f t="shared" si="5"/>
        <v>0.33333333333333331</v>
      </c>
    </row>
    <row r="188" spans="1:9" x14ac:dyDescent="0.2">
      <c r="A188" t="s">
        <v>589</v>
      </c>
      <c r="B188">
        <v>0</v>
      </c>
      <c r="C188" t="s">
        <v>80</v>
      </c>
      <c r="D188" t="s">
        <v>590</v>
      </c>
      <c r="E188" t="s">
        <v>591</v>
      </c>
      <c r="F188" t="s">
        <v>33</v>
      </c>
      <c r="G188">
        <v>1</v>
      </c>
      <c r="H188">
        <f t="shared" si="4"/>
        <v>4</v>
      </c>
      <c r="I188" s="6">
        <f t="shared" si="5"/>
        <v>0.5</v>
      </c>
    </row>
    <row r="189" spans="1:9" x14ac:dyDescent="0.2">
      <c r="A189" t="s">
        <v>592</v>
      </c>
      <c r="B189">
        <v>0</v>
      </c>
      <c r="C189" t="s">
        <v>13</v>
      </c>
      <c r="D189" t="s">
        <v>593</v>
      </c>
      <c r="E189" t="s">
        <v>594</v>
      </c>
      <c r="F189" t="s">
        <v>108</v>
      </c>
      <c r="G189">
        <v>1</v>
      </c>
      <c r="H189">
        <f t="shared" si="4"/>
        <v>2</v>
      </c>
      <c r="I189" s="6">
        <f t="shared" si="5"/>
        <v>1</v>
      </c>
    </row>
    <row r="190" spans="1:9" x14ac:dyDescent="0.2">
      <c r="A190" t="s">
        <v>595</v>
      </c>
      <c r="B190">
        <v>4</v>
      </c>
      <c r="C190" t="s">
        <v>80</v>
      </c>
      <c r="D190" t="s">
        <v>596</v>
      </c>
      <c r="E190" t="s">
        <v>597</v>
      </c>
      <c r="F190" t="s">
        <v>221</v>
      </c>
      <c r="G190">
        <v>1</v>
      </c>
      <c r="H190">
        <f t="shared" si="4"/>
        <v>3</v>
      </c>
      <c r="I190" s="6">
        <f t="shared" si="5"/>
        <v>0.66666666666666663</v>
      </c>
    </row>
    <row r="191" spans="1:9" x14ac:dyDescent="0.2">
      <c r="A191" t="s">
        <v>598</v>
      </c>
      <c r="B191">
        <v>5</v>
      </c>
      <c r="C191" t="s">
        <v>22</v>
      </c>
      <c r="D191" t="s">
        <v>599</v>
      </c>
      <c r="E191" t="s">
        <v>600</v>
      </c>
      <c r="F191" t="s">
        <v>58</v>
      </c>
      <c r="G191">
        <v>0</v>
      </c>
      <c r="H191">
        <f t="shared" si="4"/>
        <v>2</v>
      </c>
      <c r="I191" s="6">
        <f t="shared" si="5"/>
        <v>1</v>
      </c>
    </row>
    <row r="192" spans="1:9" x14ac:dyDescent="0.2">
      <c r="A192" t="s">
        <v>601</v>
      </c>
      <c r="B192">
        <v>6</v>
      </c>
      <c r="C192" t="s">
        <v>39</v>
      </c>
      <c r="D192" t="s">
        <v>602</v>
      </c>
      <c r="E192" t="s">
        <v>603</v>
      </c>
      <c r="F192" t="s">
        <v>58</v>
      </c>
      <c r="G192">
        <v>1</v>
      </c>
      <c r="H192">
        <f t="shared" si="4"/>
        <v>2</v>
      </c>
      <c r="I192" s="6">
        <f t="shared" si="5"/>
        <v>1</v>
      </c>
    </row>
    <row r="193" spans="1:9" x14ac:dyDescent="0.2">
      <c r="A193" t="s">
        <v>604</v>
      </c>
      <c r="B193">
        <v>1</v>
      </c>
      <c r="C193" t="s">
        <v>22</v>
      </c>
      <c r="D193" t="s">
        <v>605</v>
      </c>
      <c r="E193" t="s">
        <v>606</v>
      </c>
      <c r="F193" t="s">
        <v>29</v>
      </c>
      <c r="G193">
        <v>1</v>
      </c>
      <c r="H193">
        <f t="shared" si="4"/>
        <v>8</v>
      </c>
      <c r="I193" s="6">
        <f t="shared" si="5"/>
        <v>0.875</v>
      </c>
    </row>
    <row r="194" spans="1:9" x14ac:dyDescent="0.2">
      <c r="A194" t="s">
        <v>607</v>
      </c>
      <c r="B194">
        <v>5</v>
      </c>
      <c r="C194" t="s">
        <v>22</v>
      </c>
      <c r="D194" t="s">
        <v>608</v>
      </c>
      <c r="E194" t="s">
        <v>609</v>
      </c>
      <c r="F194" t="s">
        <v>50</v>
      </c>
      <c r="G194">
        <v>1</v>
      </c>
      <c r="H194">
        <f t="shared" ref="H194:H257" si="6">COUNTIF($F$2:$F$100, F194)</f>
        <v>2</v>
      </c>
      <c r="I194" s="6">
        <f t="shared" ref="I194:I257" si="7">SUMIFS($G$2:$G$100, $F$2:$F$100, F194) / COUNTIF($F$2:$F$100, F194)</f>
        <v>0.5</v>
      </c>
    </row>
    <row r="195" spans="1:9" x14ac:dyDescent="0.2">
      <c r="A195" t="s">
        <v>610</v>
      </c>
      <c r="B195">
        <v>1</v>
      </c>
      <c r="C195" t="s">
        <v>22</v>
      </c>
      <c r="D195" t="s">
        <v>611</v>
      </c>
      <c r="E195" t="s">
        <v>612</v>
      </c>
      <c r="F195" t="s">
        <v>211</v>
      </c>
      <c r="G195">
        <v>1</v>
      </c>
      <c r="H195">
        <f t="shared" si="6"/>
        <v>3</v>
      </c>
      <c r="I195" s="6">
        <f t="shared" si="7"/>
        <v>0.33333333333333331</v>
      </c>
    </row>
    <row r="196" spans="1:9" x14ac:dyDescent="0.2">
      <c r="A196" t="s">
        <v>613</v>
      </c>
      <c r="B196">
        <v>9</v>
      </c>
      <c r="C196" t="s">
        <v>80</v>
      </c>
      <c r="D196" t="s">
        <v>614</v>
      </c>
      <c r="E196" t="s">
        <v>615</v>
      </c>
      <c r="F196" t="s">
        <v>108</v>
      </c>
      <c r="G196">
        <v>0</v>
      </c>
      <c r="H196">
        <f t="shared" si="6"/>
        <v>2</v>
      </c>
      <c r="I196" s="6">
        <f t="shared" si="7"/>
        <v>1</v>
      </c>
    </row>
    <row r="197" spans="1:9" x14ac:dyDescent="0.2">
      <c r="A197" t="s">
        <v>616</v>
      </c>
      <c r="B197">
        <v>2</v>
      </c>
      <c r="C197" t="s">
        <v>80</v>
      </c>
      <c r="D197" t="s">
        <v>617</v>
      </c>
      <c r="E197" t="s">
        <v>618</v>
      </c>
      <c r="F197" t="s">
        <v>194</v>
      </c>
      <c r="G197">
        <v>1</v>
      </c>
      <c r="H197">
        <f t="shared" si="6"/>
        <v>3</v>
      </c>
      <c r="I197" s="6">
        <f t="shared" si="7"/>
        <v>1</v>
      </c>
    </row>
    <row r="198" spans="1:9" x14ac:dyDescent="0.2">
      <c r="A198" t="s">
        <v>619</v>
      </c>
      <c r="B198">
        <v>6</v>
      </c>
      <c r="C198" t="s">
        <v>80</v>
      </c>
      <c r="D198" t="s">
        <v>620</v>
      </c>
      <c r="E198" t="s">
        <v>621</v>
      </c>
      <c r="F198" t="s">
        <v>58</v>
      </c>
      <c r="G198">
        <v>1</v>
      </c>
      <c r="H198">
        <f t="shared" si="6"/>
        <v>2</v>
      </c>
      <c r="I198" s="6">
        <f t="shared" si="7"/>
        <v>1</v>
      </c>
    </row>
    <row r="199" spans="1:9" x14ac:dyDescent="0.2">
      <c r="A199" t="s">
        <v>622</v>
      </c>
      <c r="B199">
        <v>9</v>
      </c>
      <c r="C199" t="s">
        <v>8</v>
      </c>
      <c r="D199" t="s">
        <v>623</v>
      </c>
      <c r="E199" t="s">
        <v>624</v>
      </c>
      <c r="F199" t="s">
        <v>29</v>
      </c>
      <c r="G199">
        <v>0</v>
      </c>
      <c r="H199">
        <f t="shared" si="6"/>
        <v>8</v>
      </c>
      <c r="I199" s="6">
        <f t="shared" si="7"/>
        <v>0.875</v>
      </c>
    </row>
    <row r="200" spans="1:9" x14ac:dyDescent="0.2">
      <c r="A200" t="s">
        <v>625</v>
      </c>
      <c r="B200">
        <v>5</v>
      </c>
      <c r="C200" t="s">
        <v>80</v>
      </c>
      <c r="D200" t="s">
        <v>626</v>
      </c>
      <c r="E200" t="s">
        <v>627</v>
      </c>
      <c r="F200" t="s">
        <v>54</v>
      </c>
      <c r="G200">
        <v>0</v>
      </c>
      <c r="H200">
        <f t="shared" si="6"/>
        <v>11</v>
      </c>
      <c r="I200" s="6">
        <f t="shared" si="7"/>
        <v>0.63636363636363635</v>
      </c>
    </row>
    <row r="201" spans="1:9" x14ac:dyDescent="0.2">
      <c r="A201" t="s">
        <v>628</v>
      </c>
      <c r="B201">
        <v>10</v>
      </c>
      <c r="C201" t="s">
        <v>22</v>
      </c>
      <c r="D201" t="s">
        <v>629</v>
      </c>
      <c r="E201" t="s">
        <v>630</v>
      </c>
      <c r="F201" t="s">
        <v>108</v>
      </c>
      <c r="G201">
        <v>1</v>
      </c>
      <c r="H201">
        <f t="shared" si="6"/>
        <v>2</v>
      </c>
      <c r="I201" s="6">
        <f t="shared" si="7"/>
        <v>1</v>
      </c>
    </row>
    <row r="202" spans="1:9" x14ac:dyDescent="0.2">
      <c r="A202" t="s">
        <v>631</v>
      </c>
      <c r="B202">
        <v>0</v>
      </c>
      <c r="C202" t="s">
        <v>80</v>
      </c>
      <c r="D202" t="s">
        <v>632</v>
      </c>
      <c r="E202" t="s">
        <v>633</v>
      </c>
      <c r="F202" t="s">
        <v>20</v>
      </c>
      <c r="G202">
        <v>0</v>
      </c>
      <c r="H202">
        <f t="shared" si="6"/>
        <v>8</v>
      </c>
      <c r="I202" s="6">
        <f t="shared" si="7"/>
        <v>0.5</v>
      </c>
    </row>
    <row r="203" spans="1:9" x14ac:dyDescent="0.2">
      <c r="A203" t="s">
        <v>634</v>
      </c>
      <c r="B203">
        <v>7</v>
      </c>
      <c r="C203" t="s">
        <v>8</v>
      </c>
      <c r="D203" t="s">
        <v>635</v>
      </c>
      <c r="E203" t="s">
        <v>636</v>
      </c>
      <c r="F203" t="s">
        <v>20</v>
      </c>
      <c r="G203">
        <v>1</v>
      </c>
      <c r="H203">
        <f t="shared" si="6"/>
        <v>8</v>
      </c>
      <c r="I203" s="6">
        <f t="shared" si="7"/>
        <v>0.5</v>
      </c>
    </row>
    <row r="204" spans="1:9" x14ac:dyDescent="0.2">
      <c r="A204" t="s">
        <v>637</v>
      </c>
      <c r="B204">
        <v>10</v>
      </c>
      <c r="C204" t="s">
        <v>8</v>
      </c>
      <c r="D204" t="s">
        <v>638</v>
      </c>
      <c r="E204" t="s">
        <v>639</v>
      </c>
      <c r="F204" t="s">
        <v>50</v>
      </c>
      <c r="G204">
        <v>1</v>
      </c>
      <c r="H204">
        <f t="shared" si="6"/>
        <v>2</v>
      </c>
      <c r="I204" s="6">
        <f t="shared" si="7"/>
        <v>0.5</v>
      </c>
    </row>
    <row r="205" spans="1:9" x14ac:dyDescent="0.2">
      <c r="A205" t="s">
        <v>640</v>
      </c>
      <c r="B205">
        <v>10</v>
      </c>
      <c r="C205" t="s">
        <v>8</v>
      </c>
      <c r="D205" t="s">
        <v>641</v>
      </c>
      <c r="E205" t="s">
        <v>642</v>
      </c>
      <c r="F205" t="s">
        <v>62</v>
      </c>
      <c r="G205">
        <v>1</v>
      </c>
      <c r="H205">
        <f t="shared" si="6"/>
        <v>6</v>
      </c>
      <c r="I205" s="6">
        <f t="shared" si="7"/>
        <v>0.5</v>
      </c>
    </row>
    <row r="206" spans="1:9" x14ac:dyDescent="0.2">
      <c r="A206" t="s">
        <v>643</v>
      </c>
      <c r="B206">
        <v>9</v>
      </c>
      <c r="C206" t="s">
        <v>8</v>
      </c>
      <c r="D206" t="s">
        <v>644</v>
      </c>
      <c r="E206" t="s">
        <v>645</v>
      </c>
      <c r="F206" t="s">
        <v>46</v>
      </c>
      <c r="G206">
        <v>1</v>
      </c>
      <c r="H206">
        <f t="shared" si="6"/>
        <v>3</v>
      </c>
      <c r="I206" s="6">
        <f t="shared" si="7"/>
        <v>0.66666666666666663</v>
      </c>
    </row>
    <row r="207" spans="1:9" x14ac:dyDescent="0.2">
      <c r="A207" t="s">
        <v>646</v>
      </c>
      <c r="B207">
        <v>9</v>
      </c>
      <c r="C207" t="s">
        <v>80</v>
      </c>
      <c r="D207" t="s">
        <v>647</v>
      </c>
      <c r="E207" t="s">
        <v>648</v>
      </c>
      <c r="F207" t="s">
        <v>72</v>
      </c>
      <c r="G207">
        <v>0</v>
      </c>
      <c r="H207">
        <f t="shared" si="6"/>
        <v>4</v>
      </c>
      <c r="I207" s="6">
        <f t="shared" si="7"/>
        <v>0.5</v>
      </c>
    </row>
    <row r="208" spans="1:9" x14ac:dyDescent="0.2">
      <c r="A208" t="s">
        <v>649</v>
      </c>
      <c r="B208">
        <v>1</v>
      </c>
      <c r="C208" t="s">
        <v>13</v>
      </c>
      <c r="D208" t="s">
        <v>650</v>
      </c>
      <c r="E208" t="s">
        <v>651</v>
      </c>
      <c r="F208" t="s">
        <v>37</v>
      </c>
      <c r="G208">
        <v>1</v>
      </c>
      <c r="H208">
        <f t="shared" si="6"/>
        <v>8</v>
      </c>
      <c r="I208" s="6">
        <f t="shared" si="7"/>
        <v>0.625</v>
      </c>
    </row>
    <row r="209" spans="1:9" x14ac:dyDescent="0.2">
      <c r="A209" t="s">
        <v>652</v>
      </c>
      <c r="B209">
        <v>0</v>
      </c>
      <c r="C209" t="s">
        <v>39</v>
      </c>
      <c r="D209" t="s">
        <v>653</v>
      </c>
      <c r="E209" t="s">
        <v>654</v>
      </c>
      <c r="F209" t="s">
        <v>221</v>
      </c>
      <c r="G209">
        <v>1</v>
      </c>
      <c r="H209">
        <f t="shared" si="6"/>
        <v>3</v>
      </c>
      <c r="I209" s="6">
        <f t="shared" si="7"/>
        <v>0.66666666666666663</v>
      </c>
    </row>
    <row r="210" spans="1:9" x14ac:dyDescent="0.2">
      <c r="A210" t="s">
        <v>655</v>
      </c>
      <c r="B210">
        <v>2</v>
      </c>
      <c r="C210" t="s">
        <v>80</v>
      </c>
      <c r="D210" t="s">
        <v>656</v>
      </c>
      <c r="E210" t="s">
        <v>657</v>
      </c>
      <c r="F210" t="s">
        <v>42</v>
      </c>
      <c r="G210">
        <v>0</v>
      </c>
      <c r="H210">
        <f t="shared" si="6"/>
        <v>4</v>
      </c>
      <c r="I210" s="6">
        <f t="shared" si="7"/>
        <v>1</v>
      </c>
    </row>
    <row r="211" spans="1:9" x14ac:dyDescent="0.2">
      <c r="A211" t="s">
        <v>658</v>
      </c>
      <c r="B211">
        <v>9</v>
      </c>
      <c r="C211" t="s">
        <v>80</v>
      </c>
      <c r="D211" t="s">
        <v>659</v>
      </c>
      <c r="E211" t="s">
        <v>660</v>
      </c>
      <c r="F211" t="s">
        <v>62</v>
      </c>
      <c r="G211">
        <v>0</v>
      </c>
      <c r="H211">
        <f t="shared" si="6"/>
        <v>6</v>
      </c>
      <c r="I211" s="6">
        <f t="shared" si="7"/>
        <v>0.5</v>
      </c>
    </row>
    <row r="212" spans="1:9" x14ac:dyDescent="0.2">
      <c r="A212" t="s">
        <v>661</v>
      </c>
      <c r="B212">
        <v>6</v>
      </c>
      <c r="C212" t="s">
        <v>22</v>
      </c>
      <c r="D212" t="s">
        <v>662</v>
      </c>
      <c r="E212" t="s">
        <v>663</v>
      </c>
      <c r="F212" t="s">
        <v>211</v>
      </c>
      <c r="G212">
        <v>0</v>
      </c>
      <c r="H212">
        <f t="shared" si="6"/>
        <v>3</v>
      </c>
      <c r="I212" s="6">
        <f t="shared" si="7"/>
        <v>0.33333333333333331</v>
      </c>
    </row>
    <row r="213" spans="1:9" x14ac:dyDescent="0.2">
      <c r="A213" t="s">
        <v>664</v>
      </c>
      <c r="B213">
        <v>0</v>
      </c>
      <c r="C213" t="s">
        <v>80</v>
      </c>
      <c r="D213" t="s">
        <v>665</v>
      </c>
      <c r="E213" t="s">
        <v>666</v>
      </c>
      <c r="F213" t="s">
        <v>62</v>
      </c>
      <c r="G213">
        <v>0</v>
      </c>
      <c r="H213">
        <f t="shared" si="6"/>
        <v>6</v>
      </c>
      <c r="I213" s="6">
        <f t="shared" si="7"/>
        <v>0.5</v>
      </c>
    </row>
    <row r="214" spans="1:9" x14ac:dyDescent="0.2">
      <c r="A214" t="s">
        <v>667</v>
      </c>
      <c r="B214">
        <v>0</v>
      </c>
      <c r="C214" t="s">
        <v>8</v>
      </c>
      <c r="D214" t="s">
        <v>668</v>
      </c>
      <c r="E214" t="s">
        <v>669</v>
      </c>
      <c r="F214" t="s">
        <v>29</v>
      </c>
      <c r="G214">
        <v>0</v>
      </c>
      <c r="H214">
        <f t="shared" si="6"/>
        <v>8</v>
      </c>
      <c r="I214" s="6">
        <f t="shared" si="7"/>
        <v>0.875</v>
      </c>
    </row>
    <row r="215" spans="1:9" x14ac:dyDescent="0.2">
      <c r="A215" t="s">
        <v>670</v>
      </c>
      <c r="B215">
        <v>8</v>
      </c>
      <c r="C215" t="s">
        <v>22</v>
      </c>
      <c r="D215" t="s">
        <v>671</v>
      </c>
      <c r="E215" t="s">
        <v>672</v>
      </c>
      <c r="F215" t="s">
        <v>62</v>
      </c>
      <c r="G215">
        <v>1</v>
      </c>
      <c r="H215">
        <f t="shared" si="6"/>
        <v>6</v>
      </c>
      <c r="I215" s="6">
        <f t="shared" si="7"/>
        <v>0.5</v>
      </c>
    </row>
    <row r="216" spans="1:9" x14ac:dyDescent="0.2">
      <c r="A216" t="s">
        <v>673</v>
      </c>
      <c r="B216">
        <v>3</v>
      </c>
      <c r="C216" t="s">
        <v>13</v>
      </c>
      <c r="D216" t="s">
        <v>674</v>
      </c>
      <c r="E216" t="s">
        <v>675</v>
      </c>
      <c r="F216" t="s">
        <v>221</v>
      </c>
      <c r="G216">
        <v>1</v>
      </c>
      <c r="H216">
        <f t="shared" si="6"/>
        <v>3</v>
      </c>
      <c r="I216" s="6">
        <f t="shared" si="7"/>
        <v>0.66666666666666663</v>
      </c>
    </row>
    <row r="217" spans="1:9" x14ac:dyDescent="0.2">
      <c r="A217" t="s">
        <v>676</v>
      </c>
      <c r="B217">
        <v>0</v>
      </c>
      <c r="C217" t="s">
        <v>39</v>
      </c>
      <c r="D217" t="s">
        <v>677</v>
      </c>
      <c r="E217" t="s">
        <v>678</v>
      </c>
      <c r="F217" t="s">
        <v>221</v>
      </c>
      <c r="G217">
        <v>1</v>
      </c>
      <c r="H217">
        <f t="shared" si="6"/>
        <v>3</v>
      </c>
      <c r="I217" s="6">
        <f t="shared" si="7"/>
        <v>0.66666666666666663</v>
      </c>
    </row>
    <row r="218" spans="1:9" x14ac:dyDescent="0.2">
      <c r="A218" t="s">
        <v>679</v>
      </c>
      <c r="B218">
        <v>5</v>
      </c>
      <c r="C218" t="s">
        <v>80</v>
      </c>
      <c r="D218" t="s">
        <v>680</v>
      </c>
      <c r="E218" t="s">
        <v>681</v>
      </c>
      <c r="F218" t="s">
        <v>104</v>
      </c>
      <c r="G218">
        <v>1</v>
      </c>
      <c r="H218">
        <f t="shared" si="6"/>
        <v>4</v>
      </c>
      <c r="I218" s="6">
        <f t="shared" si="7"/>
        <v>0.25</v>
      </c>
    </row>
    <row r="219" spans="1:9" x14ac:dyDescent="0.2">
      <c r="A219" t="s">
        <v>682</v>
      </c>
      <c r="B219">
        <v>3</v>
      </c>
      <c r="C219" t="s">
        <v>22</v>
      </c>
      <c r="D219" t="s">
        <v>683</v>
      </c>
      <c r="E219" t="s">
        <v>684</v>
      </c>
      <c r="F219" t="s">
        <v>211</v>
      </c>
      <c r="G219">
        <v>1</v>
      </c>
      <c r="H219">
        <f t="shared" si="6"/>
        <v>3</v>
      </c>
      <c r="I219" s="6">
        <f t="shared" si="7"/>
        <v>0.33333333333333331</v>
      </c>
    </row>
    <row r="220" spans="1:9" x14ac:dyDescent="0.2">
      <c r="A220" t="s">
        <v>685</v>
      </c>
      <c r="B220">
        <v>0</v>
      </c>
      <c r="C220" t="s">
        <v>8</v>
      </c>
      <c r="D220" t="s">
        <v>686</v>
      </c>
      <c r="E220" t="s">
        <v>687</v>
      </c>
      <c r="F220" t="s">
        <v>54</v>
      </c>
      <c r="G220">
        <v>1</v>
      </c>
      <c r="H220">
        <f t="shared" si="6"/>
        <v>11</v>
      </c>
      <c r="I220" s="6">
        <f t="shared" si="7"/>
        <v>0.63636363636363635</v>
      </c>
    </row>
    <row r="221" spans="1:9" x14ac:dyDescent="0.2">
      <c r="A221" t="s">
        <v>688</v>
      </c>
      <c r="B221">
        <v>1</v>
      </c>
      <c r="C221" t="s">
        <v>39</v>
      </c>
      <c r="D221" t="s">
        <v>689</v>
      </c>
      <c r="E221" t="s">
        <v>690</v>
      </c>
      <c r="F221" t="s">
        <v>46</v>
      </c>
      <c r="G221">
        <v>1</v>
      </c>
      <c r="H221">
        <f t="shared" si="6"/>
        <v>3</v>
      </c>
      <c r="I221" s="6">
        <f t="shared" si="7"/>
        <v>0.66666666666666663</v>
      </c>
    </row>
    <row r="222" spans="1:9" x14ac:dyDescent="0.2">
      <c r="A222" t="s">
        <v>691</v>
      </c>
      <c r="B222">
        <v>0</v>
      </c>
      <c r="C222" t="s">
        <v>39</v>
      </c>
      <c r="D222" t="s">
        <v>692</v>
      </c>
      <c r="E222" t="s">
        <v>693</v>
      </c>
      <c r="F222" t="s">
        <v>50</v>
      </c>
      <c r="G222">
        <v>1</v>
      </c>
      <c r="H222">
        <f t="shared" si="6"/>
        <v>2</v>
      </c>
      <c r="I222" s="6">
        <f t="shared" si="7"/>
        <v>0.5</v>
      </c>
    </row>
    <row r="223" spans="1:9" x14ac:dyDescent="0.2">
      <c r="A223" t="s">
        <v>694</v>
      </c>
      <c r="B223">
        <v>1</v>
      </c>
      <c r="C223" t="s">
        <v>39</v>
      </c>
      <c r="D223" t="s">
        <v>695</v>
      </c>
      <c r="E223" t="s">
        <v>696</v>
      </c>
      <c r="F223" t="s">
        <v>221</v>
      </c>
      <c r="G223">
        <v>0</v>
      </c>
      <c r="H223">
        <f t="shared" si="6"/>
        <v>3</v>
      </c>
      <c r="I223" s="6">
        <f t="shared" si="7"/>
        <v>0.66666666666666663</v>
      </c>
    </row>
    <row r="224" spans="1:9" x14ac:dyDescent="0.2">
      <c r="A224" t="s">
        <v>697</v>
      </c>
      <c r="B224">
        <v>3</v>
      </c>
      <c r="C224" t="s">
        <v>80</v>
      </c>
      <c r="D224" t="s">
        <v>698</v>
      </c>
      <c r="E224" t="s">
        <v>699</v>
      </c>
      <c r="F224" t="s">
        <v>33</v>
      </c>
      <c r="G224">
        <v>0</v>
      </c>
      <c r="H224">
        <f t="shared" si="6"/>
        <v>4</v>
      </c>
      <c r="I224" s="6">
        <f t="shared" si="7"/>
        <v>0.5</v>
      </c>
    </row>
    <row r="225" spans="1:9" x14ac:dyDescent="0.2">
      <c r="A225" t="s">
        <v>700</v>
      </c>
      <c r="B225">
        <v>9</v>
      </c>
      <c r="C225" t="s">
        <v>39</v>
      </c>
      <c r="D225" t="s">
        <v>701</v>
      </c>
      <c r="E225" t="s">
        <v>702</v>
      </c>
      <c r="F225" t="s">
        <v>211</v>
      </c>
      <c r="G225">
        <v>0</v>
      </c>
      <c r="H225">
        <f t="shared" si="6"/>
        <v>3</v>
      </c>
      <c r="I225" s="6">
        <f t="shared" si="7"/>
        <v>0.33333333333333331</v>
      </c>
    </row>
    <row r="226" spans="1:9" x14ac:dyDescent="0.2">
      <c r="A226" t="s">
        <v>703</v>
      </c>
      <c r="B226">
        <v>1</v>
      </c>
      <c r="C226" t="s">
        <v>80</v>
      </c>
      <c r="D226" t="s">
        <v>704</v>
      </c>
      <c r="E226" t="s">
        <v>705</v>
      </c>
      <c r="F226" t="s">
        <v>142</v>
      </c>
      <c r="G226">
        <v>0</v>
      </c>
      <c r="H226">
        <f t="shared" si="6"/>
        <v>5</v>
      </c>
      <c r="I226" s="6">
        <f t="shared" si="7"/>
        <v>0.4</v>
      </c>
    </row>
    <row r="227" spans="1:9" x14ac:dyDescent="0.2">
      <c r="A227" t="s">
        <v>706</v>
      </c>
      <c r="B227">
        <v>2</v>
      </c>
      <c r="C227" t="s">
        <v>39</v>
      </c>
      <c r="D227" t="s">
        <v>707</v>
      </c>
      <c r="E227" t="s">
        <v>708</v>
      </c>
      <c r="F227" t="s">
        <v>20</v>
      </c>
      <c r="G227">
        <v>1</v>
      </c>
      <c r="H227">
        <f t="shared" si="6"/>
        <v>8</v>
      </c>
      <c r="I227" s="6">
        <f t="shared" si="7"/>
        <v>0.5</v>
      </c>
    </row>
    <row r="228" spans="1:9" x14ac:dyDescent="0.2">
      <c r="A228" t="s">
        <v>709</v>
      </c>
      <c r="B228">
        <v>2</v>
      </c>
      <c r="C228" t="s">
        <v>80</v>
      </c>
      <c r="D228" t="s">
        <v>710</v>
      </c>
      <c r="E228" t="s">
        <v>711</v>
      </c>
      <c r="F228" t="s">
        <v>72</v>
      </c>
      <c r="G228">
        <v>1</v>
      </c>
      <c r="H228">
        <f t="shared" si="6"/>
        <v>4</v>
      </c>
      <c r="I228" s="6">
        <f t="shared" si="7"/>
        <v>0.5</v>
      </c>
    </row>
    <row r="229" spans="1:9" x14ac:dyDescent="0.2">
      <c r="A229" t="s">
        <v>712</v>
      </c>
      <c r="B229">
        <v>3</v>
      </c>
      <c r="C229" t="s">
        <v>13</v>
      </c>
      <c r="D229" t="s">
        <v>713</v>
      </c>
      <c r="E229" t="s">
        <v>714</v>
      </c>
      <c r="F229" t="s">
        <v>11</v>
      </c>
      <c r="G229">
        <v>0</v>
      </c>
      <c r="H229">
        <f t="shared" si="6"/>
        <v>4</v>
      </c>
      <c r="I229" s="6">
        <f t="shared" si="7"/>
        <v>0.5</v>
      </c>
    </row>
    <row r="230" spans="1:9" x14ac:dyDescent="0.2">
      <c r="A230" t="s">
        <v>715</v>
      </c>
      <c r="B230">
        <v>5</v>
      </c>
      <c r="C230" t="s">
        <v>13</v>
      </c>
      <c r="D230" t="s">
        <v>716</v>
      </c>
      <c r="E230" t="s">
        <v>717</v>
      </c>
      <c r="F230" t="s">
        <v>211</v>
      </c>
      <c r="G230">
        <v>0</v>
      </c>
      <c r="H230">
        <f t="shared" si="6"/>
        <v>3</v>
      </c>
      <c r="I230" s="6">
        <f t="shared" si="7"/>
        <v>0.33333333333333331</v>
      </c>
    </row>
    <row r="231" spans="1:9" x14ac:dyDescent="0.2">
      <c r="A231" t="s">
        <v>718</v>
      </c>
      <c r="B231">
        <v>0</v>
      </c>
      <c r="C231" t="s">
        <v>80</v>
      </c>
      <c r="D231" t="s">
        <v>719</v>
      </c>
      <c r="E231" t="s">
        <v>163</v>
      </c>
      <c r="F231" t="s">
        <v>142</v>
      </c>
      <c r="G231">
        <v>1</v>
      </c>
      <c r="H231">
        <f t="shared" si="6"/>
        <v>5</v>
      </c>
      <c r="I231" s="6">
        <f t="shared" si="7"/>
        <v>0.4</v>
      </c>
    </row>
    <row r="232" spans="1:9" x14ac:dyDescent="0.2">
      <c r="A232" t="s">
        <v>720</v>
      </c>
      <c r="B232">
        <v>0</v>
      </c>
      <c r="C232" t="s">
        <v>39</v>
      </c>
      <c r="D232" t="s">
        <v>721</v>
      </c>
      <c r="E232" t="s">
        <v>722</v>
      </c>
      <c r="F232" t="s">
        <v>25</v>
      </c>
      <c r="G232">
        <v>1</v>
      </c>
      <c r="H232">
        <f t="shared" si="6"/>
        <v>7</v>
      </c>
      <c r="I232" s="6">
        <f t="shared" si="7"/>
        <v>0.7142857142857143</v>
      </c>
    </row>
    <row r="233" spans="1:9" x14ac:dyDescent="0.2">
      <c r="A233" t="s">
        <v>723</v>
      </c>
      <c r="B233">
        <v>8</v>
      </c>
      <c r="C233" t="s">
        <v>80</v>
      </c>
      <c r="D233" t="s">
        <v>724</v>
      </c>
      <c r="E233" t="s">
        <v>725</v>
      </c>
      <c r="F233" t="s">
        <v>29</v>
      </c>
      <c r="G233">
        <v>1</v>
      </c>
      <c r="H233">
        <f t="shared" si="6"/>
        <v>8</v>
      </c>
      <c r="I233" s="6">
        <f t="shared" si="7"/>
        <v>0.875</v>
      </c>
    </row>
    <row r="234" spans="1:9" x14ac:dyDescent="0.2">
      <c r="A234" t="s">
        <v>726</v>
      </c>
      <c r="B234">
        <v>5</v>
      </c>
      <c r="C234" t="s">
        <v>8</v>
      </c>
      <c r="D234" t="s">
        <v>727</v>
      </c>
      <c r="E234" t="s">
        <v>728</v>
      </c>
      <c r="F234" t="s">
        <v>20</v>
      </c>
      <c r="G234">
        <v>0</v>
      </c>
      <c r="H234">
        <f t="shared" si="6"/>
        <v>8</v>
      </c>
      <c r="I234" s="6">
        <f t="shared" si="7"/>
        <v>0.5</v>
      </c>
    </row>
    <row r="235" spans="1:9" x14ac:dyDescent="0.2">
      <c r="A235" t="s">
        <v>729</v>
      </c>
      <c r="B235">
        <v>5</v>
      </c>
      <c r="C235" t="s">
        <v>8</v>
      </c>
      <c r="D235" t="s">
        <v>730</v>
      </c>
      <c r="E235" t="s">
        <v>731</v>
      </c>
      <c r="F235" t="s">
        <v>11</v>
      </c>
      <c r="G235">
        <v>0</v>
      </c>
      <c r="H235">
        <f t="shared" si="6"/>
        <v>4</v>
      </c>
      <c r="I235" s="6">
        <f t="shared" si="7"/>
        <v>0.5</v>
      </c>
    </row>
    <row r="236" spans="1:9" x14ac:dyDescent="0.2">
      <c r="A236" t="s">
        <v>732</v>
      </c>
      <c r="B236">
        <v>0</v>
      </c>
      <c r="C236" t="s">
        <v>39</v>
      </c>
      <c r="D236" t="s">
        <v>733</v>
      </c>
      <c r="E236" t="s">
        <v>734</v>
      </c>
      <c r="F236" t="s">
        <v>72</v>
      </c>
      <c r="G236">
        <v>1</v>
      </c>
      <c r="H236">
        <f t="shared" si="6"/>
        <v>4</v>
      </c>
      <c r="I236" s="6">
        <f t="shared" si="7"/>
        <v>0.5</v>
      </c>
    </row>
    <row r="237" spans="1:9" x14ac:dyDescent="0.2">
      <c r="A237" t="s">
        <v>735</v>
      </c>
      <c r="B237">
        <v>2</v>
      </c>
      <c r="C237" t="s">
        <v>39</v>
      </c>
      <c r="D237" t="s">
        <v>736</v>
      </c>
      <c r="E237" t="s">
        <v>737</v>
      </c>
      <c r="F237" t="s">
        <v>50</v>
      </c>
      <c r="G237">
        <v>1</v>
      </c>
      <c r="H237">
        <f t="shared" si="6"/>
        <v>2</v>
      </c>
      <c r="I237" s="6">
        <f t="shared" si="7"/>
        <v>0.5</v>
      </c>
    </row>
    <row r="238" spans="1:9" x14ac:dyDescent="0.2">
      <c r="A238" t="s">
        <v>738</v>
      </c>
      <c r="B238">
        <v>5</v>
      </c>
      <c r="C238" t="s">
        <v>8</v>
      </c>
      <c r="D238" t="s">
        <v>739</v>
      </c>
      <c r="E238" t="s">
        <v>740</v>
      </c>
      <c r="F238" t="s">
        <v>50</v>
      </c>
      <c r="G238">
        <v>0</v>
      </c>
      <c r="H238">
        <f t="shared" si="6"/>
        <v>2</v>
      </c>
      <c r="I238" s="6">
        <f t="shared" si="7"/>
        <v>0.5</v>
      </c>
    </row>
    <row r="239" spans="1:9" x14ac:dyDescent="0.2">
      <c r="A239" t="s">
        <v>741</v>
      </c>
      <c r="B239">
        <v>8</v>
      </c>
      <c r="C239" t="s">
        <v>80</v>
      </c>
      <c r="D239" t="s">
        <v>742</v>
      </c>
      <c r="E239" t="s">
        <v>743</v>
      </c>
      <c r="F239" t="s">
        <v>42</v>
      </c>
      <c r="G239">
        <v>1</v>
      </c>
      <c r="H239">
        <f t="shared" si="6"/>
        <v>4</v>
      </c>
      <c r="I239" s="6">
        <f t="shared" si="7"/>
        <v>1</v>
      </c>
    </row>
    <row r="240" spans="1:9" x14ac:dyDescent="0.2">
      <c r="A240" t="s">
        <v>744</v>
      </c>
      <c r="B240">
        <v>3</v>
      </c>
      <c r="C240" t="s">
        <v>80</v>
      </c>
      <c r="D240" t="s">
        <v>745</v>
      </c>
      <c r="E240" t="s">
        <v>746</v>
      </c>
      <c r="F240" t="s">
        <v>29</v>
      </c>
      <c r="G240">
        <v>1</v>
      </c>
      <c r="H240">
        <f t="shared" si="6"/>
        <v>8</v>
      </c>
      <c r="I240" s="6">
        <f t="shared" si="7"/>
        <v>0.875</v>
      </c>
    </row>
    <row r="241" spans="1:9" x14ac:dyDescent="0.2">
      <c r="A241" t="s">
        <v>747</v>
      </c>
      <c r="B241">
        <v>3</v>
      </c>
      <c r="C241" t="s">
        <v>80</v>
      </c>
      <c r="D241" t="s">
        <v>748</v>
      </c>
      <c r="E241" t="s">
        <v>749</v>
      </c>
      <c r="F241" t="s">
        <v>16</v>
      </c>
      <c r="G241">
        <v>0</v>
      </c>
      <c r="H241">
        <f t="shared" si="6"/>
        <v>5</v>
      </c>
      <c r="I241" s="6">
        <f t="shared" si="7"/>
        <v>0.6</v>
      </c>
    </row>
    <row r="242" spans="1:9" x14ac:dyDescent="0.2">
      <c r="A242" t="s">
        <v>750</v>
      </c>
      <c r="B242">
        <v>3</v>
      </c>
      <c r="C242" t="s">
        <v>13</v>
      </c>
      <c r="D242" t="s">
        <v>751</v>
      </c>
      <c r="E242" t="s">
        <v>752</v>
      </c>
      <c r="F242" t="s">
        <v>58</v>
      </c>
      <c r="G242">
        <v>0</v>
      </c>
      <c r="H242">
        <f t="shared" si="6"/>
        <v>2</v>
      </c>
      <c r="I242" s="6">
        <f t="shared" si="7"/>
        <v>1</v>
      </c>
    </row>
    <row r="243" spans="1:9" x14ac:dyDescent="0.2">
      <c r="A243" t="s">
        <v>753</v>
      </c>
      <c r="B243">
        <v>0</v>
      </c>
      <c r="C243" t="s">
        <v>8</v>
      </c>
      <c r="D243" t="s">
        <v>754</v>
      </c>
      <c r="E243" t="s">
        <v>755</v>
      </c>
      <c r="F243" t="s">
        <v>50</v>
      </c>
      <c r="G243">
        <v>0</v>
      </c>
      <c r="H243">
        <f t="shared" si="6"/>
        <v>2</v>
      </c>
      <c r="I243" s="6">
        <f t="shared" si="7"/>
        <v>0.5</v>
      </c>
    </row>
    <row r="244" spans="1:9" x14ac:dyDescent="0.2">
      <c r="A244" t="s">
        <v>756</v>
      </c>
      <c r="B244">
        <v>5</v>
      </c>
      <c r="C244" t="s">
        <v>8</v>
      </c>
      <c r="D244" t="s">
        <v>757</v>
      </c>
      <c r="E244" t="s">
        <v>758</v>
      </c>
      <c r="F244" t="s">
        <v>62</v>
      </c>
      <c r="G244">
        <v>1</v>
      </c>
      <c r="H244">
        <f t="shared" si="6"/>
        <v>6</v>
      </c>
      <c r="I244" s="6">
        <f t="shared" si="7"/>
        <v>0.5</v>
      </c>
    </row>
    <row r="245" spans="1:9" x14ac:dyDescent="0.2">
      <c r="A245" t="s">
        <v>759</v>
      </c>
      <c r="B245">
        <v>3</v>
      </c>
      <c r="C245" t="s">
        <v>8</v>
      </c>
      <c r="D245" t="s">
        <v>760</v>
      </c>
      <c r="E245" t="s">
        <v>761</v>
      </c>
      <c r="F245" t="s">
        <v>62</v>
      </c>
      <c r="G245">
        <v>0</v>
      </c>
      <c r="H245">
        <f t="shared" si="6"/>
        <v>6</v>
      </c>
      <c r="I245" s="6">
        <f t="shared" si="7"/>
        <v>0.5</v>
      </c>
    </row>
    <row r="246" spans="1:9" x14ac:dyDescent="0.2">
      <c r="A246" t="s">
        <v>762</v>
      </c>
      <c r="B246">
        <v>6</v>
      </c>
      <c r="C246" t="s">
        <v>39</v>
      </c>
      <c r="D246" t="s">
        <v>763</v>
      </c>
      <c r="E246" t="s">
        <v>764</v>
      </c>
      <c r="F246" t="s">
        <v>108</v>
      </c>
      <c r="G246">
        <v>1</v>
      </c>
      <c r="H246">
        <f t="shared" si="6"/>
        <v>2</v>
      </c>
      <c r="I246" s="6">
        <f t="shared" si="7"/>
        <v>1</v>
      </c>
    </row>
    <row r="247" spans="1:9" x14ac:dyDescent="0.2">
      <c r="A247" t="s">
        <v>765</v>
      </c>
      <c r="B247">
        <v>9</v>
      </c>
      <c r="C247" t="s">
        <v>39</v>
      </c>
      <c r="D247" t="s">
        <v>766</v>
      </c>
      <c r="E247" t="s">
        <v>767</v>
      </c>
      <c r="F247" t="s">
        <v>211</v>
      </c>
      <c r="G247">
        <v>1</v>
      </c>
      <c r="H247">
        <f t="shared" si="6"/>
        <v>3</v>
      </c>
      <c r="I247" s="6">
        <f t="shared" si="7"/>
        <v>0.33333333333333331</v>
      </c>
    </row>
    <row r="248" spans="1:9" x14ac:dyDescent="0.2">
      <c r="A248" t="s">
        <v>768</v>
      </c>
      <c r="B248">
        <v>9</v>
      </c>
      <c r="C248" t="s">
        <v>22</v>
      </c>
      <c r="D248" t="s">
        <v>769</v>
      </c>
      <c r="E248" t="s">
        <v>770</v>
      </c>
      <c r="F248" t="s">
        <v>33</v>
      </c>
      <c r="G248">
        <v>0</v>
      </c>
      <c r="H248">
        <f t="shared" si="6"/>
        <v>4</v>
      </c>
      <c r="I248" s="6">
        <f t="shared" si="7"/>
        <v>0.5</v>
      </c>
    </row>
    <row r="249" spans="1:9" x14ac:dyDescent="0.2">
      <c r="A249" t="s">
        <v>771</v>
      </c>
      <c r="B249">
        <v>8</v>
      </c>
      <c r="C249" t="s">
        <v>80</v>
      </c>
      <c r="D249" t="s">
        <v>772</v>
      </c>
      <c r="E249" t="s">
        <v>773</v>
      </c>
      <c r="F249" t="s">
        <v>50</v>
      </c>
      <c r="G249">
        <v>1</v>
      </c>
      <c r="H249">
        <f t="shared" si="6"/>
        <v>2</v>
      </c>
      <c r="I249" s="6">
        <f t="shared" si="7"/>
        <v>0.5</v>
      </c>
    </row>
    <row r="250" spans="1:9" x14ac:dyDescent="0.2">
      <c r="A250" t="s">
        <v>774</v>
      </c>
      <c r="B250">
        <v>1</v>
      </c>
      <c r="C250" t="s">
        <v>13</v>
      </c>
      <c r="D250" t="s">
        <v>775</v>
      </c>
      <c r="E250" t="s">
        <v>776</v>
      </c>
      <c r="F250" t="s">
        <v>211</v>
      </c>
      <c r="G250">
        <v>0</v>
      </c>
      <c r="H250">
        <f t="shared" si="6"/>
        <v>3</v>
      </c>
      <c r="I250" s="6">
        <f t="shared" si="7"/>
        <v>0.33333333333333331</v>
      </c>
    </row>
    <row r="251" spans="1:9" x14ac:dyDescent="0.2">
      <c r="A251" t="s">
        <v>777</v>
      </c>
      <c r="B251">
        <v>2</v>
      </c>
      <c r="C251" t="s">
        <v>80</v>
      </c>
      <c r="D251" t="s">
        <v>778</v>
      </c>
      <c r="E251" t="s">
        <v>779</v>
      </c>
      <c r="F251" t="s">
        <v>62</v>
      </c>
      <c r="G251">
        <v>1</v>
      </c>
      <c r="H251">
        <f t="shared" si="6"/>
        <v>6</v>
      </c>
      <c r="I251" s="6">
        <f t="shared" si="7"/>
        <v>0.5</v>
      </c>
    </row>
    <row r="252" spans="1:9" x14ac:dyDescent="0.2">
      <c r="A252" t="s">
        <v>780</v>
      </c>
      <c r="B252">
        <v>9</v>
      </c>
      <c r="C252" t="s">
        <v>8</v>
      </c>
      <c r="D252" t="s">
        <v>781</v>
      </c>
      <c r="E252" t="s">
        <v>782</v>
      </c>
      <c r="F252" t="s">
        <v>25</v>
      </c>
      <c r="G252">
        <v>1</v>
      </c>
      <c r="H252">
        <f t="shared" si="6"/>
        <v>7</v>
      </c>
      <c r="I252" s="6">
        <f t="shared" si="7"/>
        <v>0.7142857142857143</v>
      </c>
    </row>
    <row r="253" spans="1:9" x14ac:dyDescent="0.2">
      <c r="A253" t="s">
        <v>783</v>
      </c>
      <c r="B253">
        <v>0</v>
      </c>
      <c r="C253" t="s">
        <v>22</v>
      </c>
      <c r="D253" t="s">
        <v>784</v>
      </c>
      <c r="E253" t="s">
        <v>785</v>
      </c>
      <c r="F253" t="s">
        <v>54</v>
      </c>
      <c r="G253">
        <v>0</v>
      </c>
      <c r="H253">
        <f t="shared" si="6"/>
        <v>11</v>
      </c>
      <c r="I253" s="6">
        <f t="shared" si="7"/>
        <v>0.63636363636363635</v>
      </c>
    </row>
    <row r="254" spans="1:9" x14ac:dyDescent="0.2">
      <c r="A254" t="s">
        <v>786</v>
      </c>
      <c r="B254">
        <v>8</v>
      </c>
      <c r="C254" t="s">
        <v>13</v>
      </c>
      <c r="D254" t="s">
        <v>787</v>
      </c>
      <c r="E254" t="s">
        <v>788</v>
      </c>
      <c r="F254" t="s">
        <v>16</v>
      </c>
      <c r="G254">
        <v>1</v>
      </c>
      <c r="H254">
        <f t="shared" si="6"/>
        <v>5</v>
      </c>
      <c r="I254" s="6">
        <f t="shared" si="7"/>
        <v>0.6</v>
      </c>
    </row>
    <row r="255" spans="1:9" x14ac:dyDescent="0.2">
      <c r="A255" t="s">
        <v>789</v>
      </c>
      <c r="B255">
        <v>5</v>
      </c>
      <c r="C255" t="s">
        <v>80</v>
      </c>
      <c r="D255" t="s">
        <v>790</v>
      </c>
      <c r="E255" t="s">
        <v>791</v>
      </c>
      <c r="F255" t="s">
        <v>50</v>
      </c>
      <c r="G255">
        <v>1</v>
      </c>
      <c r="H255">
        <f t="shared" si="6"/>
        <v>2</v>
      </c>
      <c r="I255" s="6">
        <f t="shared" si="7"/>
        <v>0.5</v>
      </c>
    </row>
    <row r="256" spans="1:9" x14ac:dyDescent="0.2">
      <c r="A256" t="s">
        <v>792</v>
      </c>
      <c r="B256">
        <v>0</v>
      </c>
      <c r="C256" t="s">
        <v>13</v>
      </c>
      <c r="D256" t="s">
        <v>793</v>
      </c>
      <c r="E256" t="s">
        <v>794</v>
      </c>
      <c r="F256" t="s">
        <v>46</v>
      </c>
      <c r="G256">
        <v>1</v>
      </c>
      <c r="H256">
        <f t="shared" si="6"/>
        <v>3</v>
      </c>
      <c r="I256" s="6">
        <f t="shared" si="7"/>
        <v>0.66666666666666663</v>
      </c>
    </row>
    <row r="257" spans="1:9" x14ac:dyDescent="0.2">
      <c r="A257" t="s">
        <v>795</v>
      </c>
      <c r="B257">
        <v>2</v>
      </c>
      <c r="C257" t="s">
        <v>13</v>
      </c>
      <c r="D257" t="s">
        <v>796</v>
      </c>
      <c r="E257" t="s">
        <v>797</v>
      </c>
      <c r="F257" t="s">
        <v>20</v>
      </c>
      <c r="G257">
        <v>1</v>
      </c>
      <c r="H257">
        <f t="shared" si="6"/>
        <v>8</v>
      </c>
      <c r="I257" s="6">
        <f t="shared" si="7"/>
        <v>0.5</v>
      </c>
    </row>
    <row r="258" spans="1:9" x14ac:dyDescent="0.2">
      <c r="A258" t="s">
        <v>798</v>
      </c>
      <c r="B258">
        <v>9</v>
      </c>
      <c r="C258" t="s">
        <v>39</v>
      </c>
      <c r="D258" t="s">
        <v>799</v>
      </c>
      <c r="E258" t="s">
        <v>800</v>
      </c>
      <c r="F258" t="s">
        <v>37</v>
      </c>
      <c r="G258">
        <v>1</v>
      </c>
      <c r="H258">
        <f t="shared" ref="H258:H321" si="8">COUNTIF($F$2:$F$100, F258)</f>
        <v>8</v>
      </c>
      <c r="I258" s="6">
        <f t="shared" ref="I258:I321" si="9">SUMIFS($G$2:$G$100, $F$2:$F$100, F258) / COUNTIF($F$2:$F$100, F258)</f>
        <v>0.625</v>
      </c>
    </row>
    <row r="259" spans="1:9" x14ac:dyDescent="0.2">
      <c r="A259" t="s">
        <v>801</v>
      </c>
      <c r="B259">
        <v>2</v>
      </c>
      <c r="C259" t="s">
        <v>80</v>
      </c>
      <c r="D259" t="s">
        <v>802</v>
      </c>
      <c r="E259" t="s">
        <v>803</v>
      </c>
      <c r="F259" t="s">
        <v>72</v>
      </c>
      <c r="G259">
        <v>1</v>
      </c>
      <c r="H259">
        <f t="shared" si="8"/>
        <v>4</v>
      </c>
      <c r="I259" s="6">
        <f t="shared" si="9"/>
        <v>0.5</v>
      </c>
    </row>
    <row r="260" spans="1:9" x14ac:dyDescent="0.2">
      <c r="A260" t="s">
        <v>804</v>
      </c>
      <c r="B260">
        <v>7</v>
      </c>
      <c r="C260" t="s">
        <v>13</v>
      </c>
      <c r="D260" t="s">
        <v>394</v>
      </c>
      <c r="E260" t="s">
        <v>805</v>
      </c>
      <c r="F260" t="s">
        <v>221</v>
      </c>
      <c r="G260">
        <v>0</v>
      </c>
      <c r="H260">
        <f t="shared" si="8"/>
        <v>3</v>
      </c>
      <c r="I260" s="6">
        <f t="shared" si="9"/>
        <v>0.66666666666666663</v>
      </c>
    </row>
    <row r="261" spans="1:9" x14ac:dyDescent="0.2">
      <c r="A261" t="s">
        <v>806</v>
      </c>
      <c r="B261">
        <v>5</v>
      </c>
      <c r="C261" t="s">
        <v>22</v>
      </c>
      <c r="D261" t="s">
        <v>807</v>
      </c>
      <c r="E261" t="s">
        <v>808</v>
      </c>
      <c r="F261" t="s">
        <v>50</v>
      </c>
      <c r="G261">
        <v>1</v>
      </c>
      <c r="H261">
        <f t="shared" si="8"/>
        <v>2</v>
      </c>
      <c r="I261" s="6">
        <f t="shared" si="9"/>
        <v>0.5</v>
      </c>
    </row>
    <row r="262" spans="1:9" x14ac:dyDescent="0.2">
      <c r="A262" t="s">
        <v>809</v>
      </c>
      <c r="B262">
        <v>2</v>
      </c>
      <c r="C262" t="s">
        <v>8</v>
      </c>
      <c r="D262" t="s">
        <v>810</v>
      </c>
      <c r="E262" t="s">
        <v>811</v>
      </c>
      <c r="F262" t="s">
        <v>25</v>
      </c>
      <c r="G262">
        <v>0</v>
      </c>
      <c r="H262">
        <f t="shared" si="8"/>
        <v>7</v>
      </c>
      <c r="I262" s="6">
        <f t="shared" si="9"/>
        <v>0.7142857142857143</v>
      </c>
    </row>
    <row r="263" spans="1:9" x14ac:dyDescent="0.2">
      <c r="A263" t="s">
        <v>812</v>
      </c>
      <c r="B263">
        <v>9</v>
      </c>
      <c r="C263" t="s">
        <v>39</v>
      </c>
      <c r="D263" t="s">
        <v>813</v>
      </c>
      <c r="E263" t="s">
        <v>814</v>
      </c>
      <c r="F263" t="s">
        <v>62</v>
      </c>
      <c r="G263">
        <v>1</v>
      </c>
      <c r="H263">
        <f t="shared" si="8"/>
        <v>6</v>
      </c>
      <c r="I263" s="6">
        <f t="shared" si="9"/>
        <v>0.5</v>
      </c>
    </row>
    <row r="264" spans="1:9" x14ac:dyDescent="0.2">
      <c r="A264" t="s">
        <v>815</v>
      </c>
      <c r="B264">
        <v>6</v>
      </c>
      <c r="C264" t="s">
        <v>13</v>
      </c>
      <c r="D264" t="s">
        <v>816</v>
      </c>
      <c r="E264" t="s">
        <v>817</v>
      </c>
      <c r="F264" t="s">
        <v>58</v>
      </c>
      <c r="G264">
        <v>0</v>
      </c>
      <c r="H264">
        <f t="shared" si="8"/>
        <v>2</v>
      </c>
      <c r="I264" s="6">
        <f t="shared" si="9"/>
        <v>1</v>
      </c>
    </row>
    <row r="265" spans="1:9" x14ac:dyDescent="0.2">
      <c r="A265" t="s">
        <v>818</v>
      </c>
      <c r="B265">
        <v>2</v>
      </c>
      <c r="C265" t="s">
        <v>80</v>
      </c>
      <c r="D265" t="s">
        <v>819</v>
      </c>
      <c r="E265" t="s">
        <v>820</v>
      </c>
      <c r="F265" t="s">
        <v>25</v>
      </c>
      <c r="G265">
        <v>1</v>
      </c>
      <c r="H265">
        <f t="shared" si="8"/>
        <v>7</v>
      </c>
      <c r="I265" s="6">
        <f t="shared" si="9"/>
        <v>0.7142857142857143</v>
      </c>
    </row>
    <row r="266" spans="1:9" x14ac:dyDescent="0.2">
      <c r="A266" t="s">
        <v>821</v>
      </c>
      <c r="B266">
        <v>6</v>
      </c>
      <c r="C266" t="s">
        <v>80</v>
      </c>
      <c r="D266" t="s">
        <v>822</v>
      </c>
      <c r="E266" t="s">
        <v>823</v>
      </c>
      <c r="F266" t="s">
        <v>20</v>
      </c>
      <c r="G266">
        <v>0</v>
      </c>
      <c r="H266">
        <f t="shared" si="8"/>
        <v>8</v>
      </c>
      <c r="I266" s="6">
        <f t="shared" si="9"/>
        <v>0.5</v>
      </c>
    </row>
    <row r="267" spans="1:9" x14ac:dyDescent="0.2">
      <c r="A267" t="s">
        <v>824</v>
      </c>
      <c r="B267">
        <v>2</v>
      </c>
      <c r="C267" t="s">
        <v>22</v>
      </c>
      <c r="D267" t="s">
        <v>825</v>
      </c>
      <c r="E267" t="s">
        <v>826</v>
      </c>
      <c r="F267" t="s">
        <v>194</v>
      </c>
      <c r="G267">
        <v>0</v>
      </c>
      <c r="H267">
        <f t="shared" si="8"/>
        <v>3</v>
      </c>
      <c r="I267" s="6">
        <f t="shared" si="9"/>
        <v>1</v>
      </c>
    </row>
    <row r="268" spans="1:9" x14ac:dyDescent="0.2">
      <c r="A268" t="s">
        <v>827</v>
      </c>
      <c r="B268">
        <v>0</v>
      </c>
      <c r="C268" t="s">
        <v>39</v>
      </c>
      <c r="D268" t="s">
        <v>828</v>
      </c>
      <c r="E268" t="s">
        <v>829</v>
      </c>
      <c r="F268" t="s">
        <v>16</v>
      </c>
      <c r="G268">
        <v>1</v>
      </c>
      <c r="H268">
        <f t="shared" si="8"/>
        <v>5</v>
      </c>
      <c r="I268" s="6">
        <f t="shared" si="9"/>
        <v>0.6</v>
      </c>
    </row>
    <row r="269" spans="1:9" x14ac:dyDescent="0.2">
      <c r="A269" t="s">
        <v>830</v>
      </c>
      <c r="B269">
        <v>9</v>
      </c>
      <c r="C269" t="s">
        <v>22</v>
      </c>
      <c r="D269" t="s">
        <v>831</v>
      </c>
      <c r="E269" t="s">
        <v>832</v>
      </c>
      <c r="F269" t="s">
        <v>104</v>
      </c>
      <c r="G269">
        <v>1</v>
      </c>
      <c r="H269">
        <f t="shared" si="8"/>
        <v>4</v>
      </c>
      <c r="I269" s="6">
        <f t="shared" si="9"/>
        <v>0.25</v>
      </c>
    </row>
    <row r="270" spans="1:9" x14ac:dyDescent="0.2">
      <c r="A270" t="s">
        <v>833</v>
      </c>
      <c r="B270">
        <v>5</v>
      </c>
      <c r="C270" t="s">
        <v>13</v>
      </c>
      <c r="D270" t="s">
        <v>834</v>
      </c>
      <c r="E270" t="s">
        <v>835</v>
      </c>
      <c r="F270" t="s">
        <v>37</v>
      </c>
      <c r="G270">
        <v>1</v>
      </c>
      <c r="H270">
        <f t="shared" si="8"/>
        <v>8</v>
      </c>
      <c r="I270" s="6">
        <f t="shared" si="9"/>
        <v>0.625</v>
      </c>
    </row>
    <row r="271" spans="1:9" x14ac:dyDescent="0.2">
      <c r="A271" t="s">
        <v>836</v>
      </c>
      <c r="B271">
        <v>6</v>
      </c>
      <c r="C271" t="s">
        <v>22</v>
      </c>
      <c r="D271" t="s">
        <v>837</v>
      </c>
      <c r="E271" t="s">
        <v>838</v>
      </c>
      <c r="F271" t="s">
        <v>46</v>
      </c>
      <c r="G271">
        <v>0</v>
      </c>
      <c r="H271">
        <f t="shared" si="8"/>
        <v>3</v>
      </c>
      <c r="I271" s="6">
        <f t="shared" si="9"/>
        <v>0.66666666666666663</v>
      </c>
    </row>
    <row r="272" spans="1:9" x14ac:dyDescent="0.2">
      <c r="A272" t="s">
        <v>839</v>
      </c>
      <c r="B272">
        <v>0</v>
      </c>
      <c r="C272" t="s">
        <v>39</v>
      </c>
      <c r="D272" t="s">
        <v>840</v>
      </c>
      <c r="E272" t="s">
        <v>841</v>
      </c>
      <c r="F272" t="s">
        <v>25</v>
      </c>
      <c r="G272">
        <v>1</v>
      </c>
      <c r="H272">
        <f t="shared" si="8"/>
        <v>7</v>
      </c>
      <c r="I272" s="6">
        <f t="shared" si="9"/>
        <v>0.7142857142857143</v>
      </c>
    </row>
    <row r="273" spans="1:9" x14ac:dyDescent="0.2">
      <c r="A273" t="s">
        <v>842</v>
      </c>
      <c r="B273">
        <v>7</v>
      </c>
      <c r="C273" t="s">
        <v>8</v>
      </c>
      <c r="D273" t="s">
        <v>843</v>
      </c>
      <c r="E273" t="s">
        <v>844</v>
      </c>
      <c r="F273" t="s">
        <v>29</v>
      </c>
      <c r="G273">
        <v>1</v>
      </c>
      <c r="H273">
        <f t="shared" si="8"/>
        <v>8</v>
      </c>
      <c r="I273" s="6">
        <f t="shared" si="9"/>
        <v>0.875</v>
      </c>
    </row>
    <row r="274" spans="1:9" x14ac:dyDescent="0.2">
      <c r="A274" t="s">
        <v>845</v>
      </c>
      <c r="B274">
        <v>5</v>
      </c>
      <c r="C274" t="s">
        <v>80</v>
      </c>
      <c r="D274" t="s">
        <v>846</v>
      </c>
      <c r="E274" t="s">
        <v>847</v>
      </c>
      <c r="F274" t="s">
        <v>54</v>
      </c>
      <c r="G274">
        <v>1</v>
      </c>
      <c r="H274">
        <f t="shared" si="8"/>
        <v>11</v>
      </c>
      <c r="I274" s="6">
        <f t="shared" si="9"/>
        <v>0.63636363636363635</v>
      </c>
    </row>
    <row r="275" spans="1:9" x14ac:dyDescent="0.2">
      <c r="A275" t="s">
        <v>848</v>
      </c>
      <c r="B275">
        <v>3</v>
      </c>
      <c r="C275" t="s">
        <v>8</v>
      </c>
      <c r="D275" t="s">
        <v>849</v>
      </c>
      <c r="E275" t="s">
        <v>850</v>
      </c>
      <c r="F275" t="s">
        <v>108</v>
      </c>
      <c r="G275">
        <v>1</v>
      </c>
      <c r="H275">
        <f t="shared" si="8"/>
        <v>2</v>
      </c>
      <c r="I275" s="6">
        <f t="shared" si="9"/>
        <v>1</v>
      </c>
    </row>
    <row r="276" spans="1:9" x14ac:dyDescent="0.2">
      <c r="A276" t="s">
        <v>851</v>
      </c>
      <c r="B276">
        <v>4</v>
      </c>
      <c r="C276" t="s">
        <v>8</v>
      </c>
      <c r="D276" t="s">
        <v>852</v>
      </c>
      <c r="E276" t="s">
        <v>305</v>
      </c>
      <c r="F276" t="s">
        <v>207</v>
      </c>
      <c r="G276">
        <v>1</v>
      </c>
      <c r="H276">
        <f t="shared" si="8"/>
        <v>3</v>
      </c>
      <c r="I276" s="6">
        <f t="shared" si="9"/>
        <v>1</v>
      </c>
    </row>
    <row r="277" spans="1:9" x14ac:dyDescent="0.2">
      <c r="A277" t="s">
        <v>853</v>
      </c>
      <c r="B277">
        <v>4</v>
      </c>
      <c r="C277" t="s">
        <v>80</v>
      </c>
      <c r="D277" t="s">
        <v>854</v>
      </c>
      <c r="E277" t="s">
        <v>855</v>
      </c>
      <c r="F277" t="s">
        <v>25</v>
      </c>
      <c r="G277">
        <v>1</v>
      </c>
      <c r="H277">
        <f t="shared" si="8"/>
        <v>7</v>
      </c>
      <c r="I277" s="6">
        <f t="shared" si="9"/>
        <v>0.7142857142857143</v>
      </c>
    </row>
    <row r="278" spans="1:9" x14ac:dyDescent="0.2">
      <c r="A278" t="s">
        <v>856</v>
      </c>
      <c r="B278">
        <v>0</v>
      </c>
      <c r="C278" t="s">
        <v>22</v>
      </c>
      <c r="D278" t="s">
        <v>857</v>
      </c>
      <c r="E278" t="s">
        <v>858</v>
      </c>
      <c r="F278" t="s">
        <v>58</v>
      </c>
      <c r="G278">
        <v>1</v>
      </c>
      <c r="H278">
        <f t="shared" si="8"/>
        <v>2</v>
      </c>
      <c r="I278" s="6">
        <f t="shared" si="9"/>
        <v>1</v>
      </c>
    </row>
    <row r="279" spans="1:9" x14ac:dyDescent="0.2">
      <c r="A279" t="s">
        <v>859</v>
      </c>
      <c r="B279">
        <v>2</v>
      </c>
      <c r="C279" t="s">
        <v>39</v>
      </c>
      <c r="D279" t="s">
        <v>860</v>
      </c>
      <c r="E279" t="s">
        <v>861</v>
      </c>
      <c r="F279" t="s">
        <v>72</v>
      </c>
      <c r="G279">
        <v>1</v>
      </c>
      <c r="H279">
        <f t="shared" si="8"/>
        <v>4</v>
      </c>
      <c r="I279" s="6">
        <f t="shared" si="9"/>
        <v>0.5</v>
      </c>
    </row>
    <row r="280" spans="1:9" x14ac:dyDescent="0.2">
      <c r="A280" t="s">
        <v>862</v>
      </c>
      <c r="B280">
        <v>10</v>
      </c>
      <c r="C280" t="s">
        <v>8</v>
      </c>
      <c r="D280" t="s">
        <v>863</v>
      </c>
      <c r="E280" t="s">
        <v>864</v>
      </c>
      <c r="F280" t="s">
        <v>211</v>
      </c>
      <c r="G280">
        <v>0</v>
      </c>
      <c r="H280">
        <f t="shared" si="8"/>
        <v>3</v>
      </c>
      <c r="I280" s="6">
        <f t="shared" si="9"/>
        <v>0.33333333333333331</v>
      </c>
    </row>
    <row r="281" spans="1:9" x14ac:dyDescent="0.2">
      <c r="A281" t="s">
        <v>865</v>
      </c>
      <c r="B281">
        <v>3</v>
      </c>
      <c r="C281" t="s">
        <v>22</v>
      </c>
      <c r="D281" t="s">
        <v>866</v>
      </c>
      <c r="E281" t="s">
        <v>867</v>
      </c>
      <c r="F281" t="s">
        <v>211</v>
      </c>
      <c r="G281">
        <v>1</v>
      </c>
      <c r="H281">
        <f t="shared" si="8"/>
        <v>3</v>
      </c>
      <c r="I281" s="6">
        <f t="shared" si="9"/>
        <v>0.33333333333333331</v>
      </c>
    </row>
    <row r="282" spans="1:9" x14ac:dyDescent="0.2">
      <c r="A282" t="s">
        <v>868</v>
      </c>
      <c r="B282">
        <v>3</v>
      </c>
      <c r="C282" t="s">
        <v>80</v>
      </c>
      <c r="D282" t="s">
        <v>869</v>
      </c>
      <c r="E282" t="s">
        <v>870</v>
      </c>
      <c r="F282" t="s">
        <v>142</v>
      </c>
      <c r="G282">
        <v>0</v>
      </c>
      <c r="H282">
        <f t="shared" si="8"/>
        <v>5</v>
      </c>
      <c r="I282" s="6">
        <f t="shared" si="9"/>
        <v>0.4</v>
      </c>
    </row>
    <row r="283" spans="1:9" x14ac:dyDescent="0.2">
      <c r="A283" t="s">
        <v>871</v>
      </c>
      <c r="B283">
        <v>7</v>
      </c>
      <c r="C283" t="s">
        <v>22</v>
      </c>
      <c r="D283" t="s">
        <v>872</v>
      </c>
      <c r="E283" t="s">
        <v>873</v>
      </c>
      <c r="F283" t="s">
        <v>194</v>
      </c>
      <c r="G283">
        <v>1</v>
      </c>
      <c r="H283">
        <f t="shared" si="8"/>
        <v>3</v>
      </c>
      <c r="I283" s="6">
        <f t="shared" si="9"/>
        <v>1</v>
      </c>
    </row>
    <row r="284" spans="1:9" x14ac:dyDescent="0.2">
      <c r="A284" t="s">
        <v>874</v>
      </c>
      <c r="B284">
        <v>8</v>
      </c>
      <c r="C284" t="s">
        <v>13</v>
      </c>
      <c r="D284" t="s">
        <v>875</v>
      </c>
      <c r="E284" t="s">
        <v>876</v>
      </c>
      <c r="F284" t="s">
        <v>29</v>
      </c>
      <c r="G284">
        <v>0</v>
      </c>
      <c r="H284">
        <f t="shared" si="8"/>
        <v>8</v>
      </c>
      <c r="I284" s="6">
        <f t="shared" si="9"/>
        <v>0.875</v>
      </c>
    </row>
    <row r="285" spans="1:9" x14ac:dyDescent="0.2">
      <c r="A285" t="s">
        <v>877</v>
      </c>
      <c r="B285">
        <v>3</v>
      </c>
      <c r="C285" t="s">
        <v>13</v>
      </c>
      <c r="D285" t="s">
        <v>878</v>
      </c>
      <c r="E285" t="s">
        <v>879</v>
      </c>
      <c r="F285" t="s">
        <v>72</v>
      </c>
      <c r="G285">
        <v>0</v>
      </c>
      <c r="H285">
        <f t="shared" si="8"/>
        <v>4</v>
      </c>
      <c r="I285" s="6">
        <f t="shared" si="9"/>
        <v>0.5</v>
      </c>
    </row>
    <row r="286" spans="1:9" x14ac:dyDescent="0.2">
      <c r="A286" t="s">
        <v>880</v>
      </c>
      <c r="B286">
        <v>9</v>
      </c>
      <c r="C286" t="s">
        <v>22</v>
      </c>
      <c r="D286" t="s">
        <v>881</v>
      </c>
      <c r="E286" t="s">
        <v>882</v>
      </c>
      <c r="F286" t="s">
        <v>58</v>
      </c>
      <c r="G286">
        <v>0</v>
      </c>
      <c r="H286">
        <f t="shared" si="8"/>
        <v>2</v>
      </c>
      <c r="I286" s="6">
        <f t="shared" si="9"/>
        <v>1</v>
      </c>
    </row>
    <row r="287" spans="1:9" x14ac:dyDescent="0.2">
      <c r="A287" t="s">
        <v>883</v>
      </c>
      <c r="B287">
        <v>12</v>
      </c>
      <c r="C287" t="s">
        <v>8</v>
      </c>
      <c r="D287" t="s">
        <v>884</v>
      </c>
      <c r="E287" t="s">
        <v>885</v>
      </c>
      <c r="F287" t="s">
        <v>11</v>
      </c>
      <c r="G287">
        <v>1</v>
      </c>
      <c r="H287">
        <f t="shared" si="8"/>
        <v>4</v>
      </c>
      <c r="I287" s="6">
        <f t="shared" si="9"/>
        <v>0.5</v>
      </c>
    </row>
    <row r="288" spans="1:9" x14ac:dyDescent="0.2">
      <c r="A288" t="s">
        <v>886</v>
      </c>
      <c r="B288">
        <v>6</v>
      </c>
      <c r="C288" t="s">
        <v>22</v>
      </c>
      <c r="D288" t="s">
        <v>887</v>
      </c>
      <c r="E288" t="s">
        <v>888</v>
      </c>
      <c r="F288" t="s">
        <v>33</v>
      </c>
      <c r="G288">
        <v>0</v>
      </c>
      <c r="H288">
        <f t="shared" si="8"/>
        <v>4</v>
      </c>
      <c r="I288" s="6">
        <f t="shared" si="9"/>
        <v>0.5</v>
      </c>
    </row>
    <row r="289" spans="1:9" x14ac:dyDescent="0.2">
      <c r="A289" t="s">
        <v>889</v>
      </c>
      <c r="B289">
        <v>0</v>
      </c>
      <c r="C289" t="s">
        <v>8</v>
      </c>
      <c r="D289" t="s">
        <v>890</v>
      </c>
      <c r="E289" t="s">
        <v>891</v>
      </c>
      <c r="F289" t="s">
        <v>142</v>
      </c>
      <c r="G289">
        <v>0</v>
      </c>
      <c r="H289">
        <f t="shared" si="8"/>
        <v>5</v>
      </c>
      <c r="I289" s="6">
        <f t="shared" si="9"/>
        <v>0.4</v>
      </c>
    </row>
    <row r="290" spans="1:9" x14ac:dyDescent="0.2">
      <c r="A290" t="s">
        <v>892</v>
      </c>
      <c r="B290">
        <v>10</v>
      </c>
      <c r="C290" t="s">
        <v>39</v>
      </c>
      <c r="D290" t="s">
        <v>893</v>
      </c>
      <c r="E290" t="s">
        <v>894</v>
      </c>
      <c r="F290" t="s">
        <v>42</v>
      </c>
      <c r="G290">
        <v>0</v>
      </c>
      <c r="H290">
        <f t="shared" si="8"/>
        <v>4</v>
      </c>
      <c r="I290" s="6">
        <f t="shared" si="9"/>
        <v>1</v>
      </c>
    </row>
    <row r="291" spans="1:9" x14ac:dyDescent="0.2">
      <c r="A291" t="s">
        <v>895</v>
      </c>
      <c r="B291">
        <v>9</v>
      </c>
      <c r="C291" t="s">
        <v>80</v>
      </c>
      <c r="D291" t="s">
        <v>896</v>
      </c>
      <c r="E291" t="s">
        <v>897</v>
      </c>
      <c r="F291" t="s">
        <v>211</v>
      </c>
      <c r="G291">
        <v>0</v>
      </c>
      <c r="H291">
        <f t="shared" si="8"/>
        <v>3</v>
      </c>
      <c r="I291" s="6">
        <f t="shared" si="9"/>
        <v>0.33333333333333331</v>
      </c>
    </row>
    <row r="292" spans="1:9" x14ac:dyDescent="0.2">
      <c r="A292" t="s">
        <v>898</v>
      </c>
      <c r="B292">
        <v>4</v>
      </c>
      <c r="C292" t="s">
        <v>80</v>
      </c>
      <c r="D292" t="s">
        <v>899</v>
      </c>
      <c r="E292" t="s">
        <v>900</v>
      </c>
      <c r="F292" t="s">
        <v>16</v>
      </c>
      <c r="G292">
        <v>1</v>
      </c>
      <c r="H292">
        <f t="shared" si="8"/>
        <v>5</v>
      </c>
      <c r="I292" s="6">
        <f t="shared" si="9"/>
        <v>0.6</v>
      </c>
    </row>
    <row r="293" spans="1:9" x14ac:dyDescent="0.2">
      <c r="A293" t="s">
        <v>901</v>
      </c>
      <c r="B293">
        <v>1</v>
      </c>
      <c r="C293" t="s">
        <v>8</v>
      </c>
      <c r="D293" t="s">
        <v>902</v>
      </c>
      <c r="E293" t="s">
        <v>903</v>
      </c>
      <c r="F293" t="s">
        <v>33</v>
      </c>
      <c r="G293">
        <v>1</v>
      </c>
      <c r="H293">
        <f t="shared" si="8"/>
        <v>4</v>
      </c>
      <c r="I293" s="6">
        <f t="shared" si="9"/>
        <v>0.5</v>
      </c>
    </row>
    <row r="294" spans="1:9" x14ac:dyDescent="0.2">
      <c r="A294" t="s">
        <v>904</v>
      </c>
      <c r="B294">
        <v>3</v>
      </c>
      <c r="C294" t="s">
        <v>39</v>
      </c>
      <c r="D294" t="s">
        <v>905</v>
      </c>
      <c r="E294" t="s">
        <v>906</v>
      </c>
      <c r="F294" t="s">
        <v>11</v>
      </c>
      <c r="G294">
        <v>1</v>
      </c>
      <c r="H294">
        <f t="shared" si="8"/>
        <v>4</v>
      </c>
      <c r="I294" s="6">
        <f t="shared" si="9"/>
        <v>0.5</v>
      </c>
    </row>
    <row r="295" spans="1:9" x14ac:dyDescent="0.2">
      <c r="A295" t="s">
        <v>907</v>
      </c>
      <c r="B295">
        <v>2</v>
      </c>
      <c r="C295" t="s">
        <v>13</v>
      </c>
      <c r="D295" t="s">
        <v>908</v>
      </c>
      <c r="E295" t="s">
        <v>909</v>
      </c>
      <c r="F295" t="s">
        <v>25</v>
      </c>
      <c r="G295">
        <v>1</v>
      </c>
      <c r="H295">
        <f t="shared" si="8"/>
        <v>7</v>
      </c>
      <c r="I295" s="6">
        <f t="shared" si="9"/>
        <v>0.7142857142857143</v>
      </c>
    </row>
    <row r="296" spans="1:9" x14ac:dyDescent="0.2">
      <c r="A296" t="s">
        <v>910</v>
      </c>
      <c r="B296">
        <v>10</v>
      </c>
      <c r="C296" t="s">
        <v>8</v>
      </c>
      <c r="D296" t="s">
        <v>911</v>
      </c>
      <c r="E296" t="s">
        <v>912</v>
      </c>
      <c r="F296" t="s">
        <v>142</v>
      </c>
      <c r="G296">
        <v>0</v>
      </c>
      <c r="H296">
        <f t="shared" si="8"/>
        <v>5</v>
      </c>
      <c r="I296" s="6">
        <f t="shared" si="9"/>
        <v>0.4</v>
      </c>
    </row>
    <row r="297" spans="1:9" x14ac:dyDescent="0.2">
      <c r="A297" t="s">
        <v>913</v>
      </c>
      <c r="B297">
        <v>0</v>
      </c>
      <c r="C297" t="s">
        <v>8</v>
      </c>
      <c r="D297" t="s">
        <v>914</v>
      </c>
      <c r="E297" t="s">
        <v>915</v>
      </c>
      <c r="F297" t="s">
        <v>20</v>
      </c>
      <c r="G297">
        <v>1</v>
      </c>
      <c r="H297">
        <f t="shared" si="8"/>
        <v>8</v>
      </c>
      <c r="I297" s="6">
        <f t="shared" si="9"/>
        <v>0.5</v>
      </c>
    </row>
    <row r="298" spans="1:9" x14ac:dyDescent="0.2">
      <c r="A298" t="s">
        <v>916</v>
      </c>
      <c r="B298">
        <v>6</v>
      </c>
      <c r="C298" t="s">
        <v>8</v>
      </c>
      <c r="D298" t="s">
        <v>917</v>
      </c>
      <c r="E298" t="s">
        <v>918</v>
      </c>
      <c r="F298" t="s">
        <v>50</v>
      </c>
      <c r="G298">
        <v>1</v>
      </c>
      <c r="H298">
        <f t="shared" si="8"/>
        <v>2</v>
      </c>
      <c r="I298" s="6">
        <f t="shared" si="9"/>
        <v>0.5</v>
      </c>
    </row>
    <row r="299" spans="1:9" x14ac:dyDescent="0.2">
      <c r="A299" t="s">
        <v>919</v>
      </c>
      <c r="B299">
        <v>2</v>
      </c>
      <c r="C299" t="s">
        <v>8</v>
      </c>
      <c r="D299" t="s">
        <v>920</v>
      </c>
      <c r="E299" t="s">
        <v>921</v>
      </c>
      <c r="F299" t="s">
        <v>11</v>
      </c>
      <c r="G299">
        <v>0</v>
      </c>
      <c r="H299">
        <f t="shared" si="8"/>
        <v>4</v>
      </c>
      <c r="I299" s="6">
        <f t="shared" si="9"/>
        <v>0.5</v>
      </c>
    </row>
    <row r="300" spans="1:9" x14ac:dyDescent="0.2">
      <c r="A300" t="s">
        <v>922</v>
      </c>
      <c r="B300">
        <v>7</v>
      </c>
      <c r="C300" t="s">
        <v>13</v>
      </c>
      <c r="D300" t="s">
        <v>923</v>
      </c>
      <c r="E300" t="s">
        <v>924</v>
      </c>
      <c r="F300" t="s">
        <v>194</v>
      </c>
      <c r="G300">
        <v>0</v>
      </c>
      <c r="H300">
        <f t="shared" si="8"/>
        <v>3</v>
      </c>
      <c r="I300" s="6">
        <f t="shared" si="9"/>
        <v>1</v>
      </c>
    </row>
    <row r="301" spans="1:9" x14ac:dyDescent="0.2">
      <c r="A301" t="s">
        <v>925</v>
      </c>
      <c r="B301">
        <v>1</v>
      </c>
      <c r="C301" t="s">
        <v>80</v>
      </c>
      <c r="D301" t="s">
        <v>926</v>
      </c>
      <c r="E301" t="s">
        <v>927</v>
      </c>
      <c r="F301" t="s">
        <v>50</v>
      </c>
      <c r="G301">
        <v>1</v>
      </c>
      <c r="H301">
        <f t="shared" si="8"/>
        <v>2</v>
      </c>
      <c r="I301" s="6">
        <f t="shared" si="9"/>
        <v>0.5</v>
      </c>
    </row>
    <row r="302" spans="1:9" x14ac:dyDescent="0.2">
      <c r="A302" t="s">
        <v>928</v>
      </c>
      <c r="B302">
        <v>4</v>
      </c>
      <c r="C302" t="s">
        <v>22</v>
      </c>
      <c r="D302" t="s">
        <v>929</v>
      </c>
      <c r="E302" t="s">
        <v>930</v>
      </c>
      <c r="F302" t="s">
        <v>33</v>
      </c>
      <c r="G302">
        <v>0</v>
      </c>
      <c r="H302">
        <f t="shared" si="8"/>
        <v>4</v>
      </c>
      <c r="I302" s="6">
        <f t="shared" si="9"/>
        <v>0.5</v>
      </c>
    </row>
    <row r="303" spans="1:9" x14ac:dyDescent="0.2">
      <c r="A303" t="s">
        <v>931</v>
      </c>
      <c r="B303">
        <v>0</v>
      </c>
      <c r="C303" t="s">
        <v>80</v>
      </c>
      <c r="D303" t="s">
        <v>932</v>
      </c>
      <c r="E303" t="s">
        <v>933</v>
      </c>
      <c r="F303" t="s">
        <v>42</v>
      </c>
      <c r="G303">
        <v>1</v>
      </c>
      <c r="H303">
        <f t="shared" si="8"/>
        <v>4</v>
      </c>
      <c r="I303" s="6">
        <f t="shared" si="9"/>
        <v>1</v>
      </c>
    </row>
    <row r="304" spans="1:9" x14ac:dyDescent="0.2">
      <c r="A304" t="s">
        <v>934</v>
      </c>
      <c r="B304">
        <v>4</v>
      </c>
      <c r="C304" t="s">
        <v>39</v>
      </c>
      <c r="D304" t="s">
        <v>935</v>
      </c>
      <c r="E304" t="s">
        <v>936</v>
      </c>
      <c r="F304" t="s">
        <v>142</v>
      </c>
      <c r="G304">
        <v>1</v>
      </c>
      <c r="H304">
        <f t="shared" si="8"/>
        <v>5</v>
      </c>
      <c r="I304" s="6">
        <f t="shared" si="9"/>
        <v>0.4</v>
      </c>
    </row>
    <row r="305" spans="1:9" x14ac:dyDescent="0.2">
      <c r="A305" t="s">
        <v>937</v>
      </c>
      <c r="B305">
        <v>3</v>
      </c>
      <c r="C305" t="s">
        <v>8</v>
      </c>
      <c r="D305" t="s">
        <v>938</v>
      </c>
      <c r="E305" t="s">
        <v>939</v>
      </c>
      <c r="F305" t="s">
        <v>221</v>
      </c>
      <c r="G305">
        <v>1</v>
      </c>
      <c r="H305">
        <f t="shared" si="8"/>
        <v>3</v>
      </c>
      <c r="I305" s="6">
        <f t="shared" si="9"/>
        <v>0.66666666666666663</v>
      </c>
    </row>
    <row r="306" spans="1:9" x14ac:dyDescent="0.2">
      <c r="A306" t="s">
        <v>940</v>
      </c>
      <c r="B306">
        <v>7</v>
      </c>
      <c r="C306" t="s">
        <v>13</v>
      </c>
      <c r="D306" t="s">
        <v>941</v>
      </c>
      <c r="E306" t="s">
        <v>942</v>
      </c>
      <c r="F306" t="s">
        <v>221</v>
      </c>
      <c r="G306">
        <v>1</v>
      </c>
      <c r="H306">
        <f t="shared" si="8"/>
        <v>3</v>
      </c>
      <c r="I306" s="6">
        <f t="shared" si="9"/>
        <v>0.66666666666666663</v>
      </c>
    </row>
    <row r="307" spans="1:9" x14ac:dyDescent="0.2">
      <c r="A307" t="s">
        <v>943</v>
      </c>
      <c r="B307">
        <v>7</v>
      </c>
      <c r="C307" t="s">
        <v>8</v>
      </c>
      <c r="D307" t="s">
        <v>944</v>
      </c>
      <c r="E307" t="s">
        <v>945</v>
      </c>
      <c r="F307" t="s">
        <v>33</v>
      </c>
      <c r="G307">
        <v>1</v>
      </c>
      <c r="H307">
        <f t="shared" si="8"/>
        <v>4</v>
      </c>
      <c r="I307" s="6">
        <f t="shared" si="9"/>
        <v>0.5</v>
      </c>
    </row>
    <row r="308" spans="1:9" x14ac:dyDescent="0.2">
      <c r="A308" t="s">
        <v>946</v>
      </c>
      <c r="B308">
        <v>3</v>
      </c>
      <c r="C308" t="s">
        <v>13</v>
      </c>
      <c r="D308" t="s">
        <v>947</v>
      </c>
      <c r="E308" t="s">
        <v>948</v>
      </c>
      <c r="F308" t="s">
        <v>11</v>
      </c>
      <c r="G308">
        <v>0</v>
      </c>
      <c r="H308">
        <f t="shared" si="8"/>
        <v>4</v>
      </c>
      <c r="I308" s="6">
        <f t="shared" si="9"/>
        <v>0.5</v>
      </c>
    </row>
    <row r="309" spans="1:9" x14ac:dyDescent="0.2">
      <c r="A309" t="s">
        <v>949</v>
      </c>
      <c r="B309">
        <v>6</v>
      </c>
      <c r="C309" t="s">
        <v>22</v>
      </c>
      <c r="D309" t="s">
        <v>950</v>
      </c>
      <c r="E309" t="s">
        <v>951</v>
      </c>
      <c r="F309" t="s">
        <v>16</v>
      </c>
      <c r="G309">
        <v>1</v>
      </c>
      <c r="H309">
        <f t="shared" si="8"/>
        <v>5</v>
      </c>
      <c r="I309" s="6">
        <f t="shared" si="9"/>
        <v>0.6</v>
      </c>
    </row>
    <row r="310" spans="1:9" x14ac:dyDescent="0.2">
      <c r="A310" t="s">
        <v>952</v>
      </c>
      <c r="B310">
        <v>9</v>
      </c>
      <c r="C310" t="s">
        <v>13</v>
      </c>
      <c r="D310" t="s">
        <v>953</v>
      </c>
      <c r="E310" t="s">
        <v>954</v>
      </c>
      <c r="F310" t="s">
        <v>11</v>
      </c>
      <c r="G310">
        <v>1</v>
      </c>
      <c r="H310">
        <f t="shared" si="8"/>
        <v>4</v>
      </c>
      <c r="I310" s="6">
        <f t="shared" si="9"/>
        <v>0.5</v>
      </c>
    </row>
    <row r="311" spans="1:9" x14ac:dyDescent="0.2">
      <c r="A311" t="s">
        <v>955</v>
      </c>
      <c r="B311">
        <v>8</v>
      </c>
      <c r="C311" t="s">
        <v>13</v>
      </c>
      <c r="D311" t="s">
        <v>956</v>
      </c>
      <c r="E311" t="s">
        <v>957</v>
      </c>
      <c r="F311" t="s">
        <v>62</v>
      </c>
      <c r="G311">
        <v>0</v>
      </c>
      <c r="H311">
        <f t="shared" si="8"/>
        <v>6</v>
      </c>
      <c r="I311" s="6">
        <f t="shared" si="9"/>
        <v>0.5</v>
      </c>
    </row>
    <row r="312" spans="1:9" x14ac:dyDescent="0.2">
      <c r="A312" t="s">
        <v>958</v>
      </c>
      <c r="B312">
        <v>8</v>
      </c>
      <c r="C312" t="s">
        <v>39</v>
      </c>
      <c r="D312" t="s">
        <v>959</v>
      </c>
      <c r="E312" t="s">
        <v>960</v>
      </c>
      <c r="F312" t="s">
        <v>142</v>
      </c>
      <c r="G312">
        <v>1</v>
      </c>
      <c r="H312">
        <f t="shared" si="8"/>
        <v>5</v>
      </c>
      <c r="I312" s="6">
        <f t="shared" si="9"/>
        <v>0.4</v>
      </c>
    </row>
    <row r="313" spans="1:9" x14ac:dyDescent="0.2">
      <c r="A313" t="s">
        <v>961</v>
      </c>
      <c r="B313">
        <v>2</v>
      </c>
      <c r="C313" t="s">
        <v>8</v>
      </c>
      <c r="D313" t="s">
        <v>962</v>
      </c>
      <c r="E313" t="s">
        <v>963</v>
      </c>
      <c r="F313" t="s">
        <v>46</v>
      </c>
      <c r="G313">
        <v>1</v>
      </c>
      <c r="H313">
        <f t="shared" si="8"/>
        <v>3</v>
      </c>
      <c r="I313" s="6">
        <f t="shared" si="9"/>
        <v>0.66666666666666663</v>
      </c>
    </row>
    <row r="314" spans="1:9" x14ac:dyDescent="0.2">
      <c r="A314" t="s">
        <v>964</v>
      </c>
      <c r="B314">
        <v>9</v>
      </c>
      <c r="C314" t="s">
        <v>13</v>
      </c>
      <c r="D314" t="s">
        <v>965</v>
      </c>
      <c r="E314" t="s">
        <v>966</v>
      </c>
      <c r="F314" t="s">
        <v>25</v>
      </c>
      <c r="G314">
        <v>1</v>
      </c>
      <c r="H314">
        <f t="shared" si="8"/>
        <v>7</v>
      </c>
      <c r="I314" s="6">
        <f t="shared" si="9"/>
        <v>0.7142857142857143</v>
      </c>
    </row>
    <row r="315" spans="1:9" x14ac:dyDescent="0.2">
      <c r="A315" t="s">
        <v>967</v>
      </c>
      <c r="B315">
        <v>0</v>
      </c>
      <c r="C315" t="s">
        <v>13</v>
      </c>
      <c r="D315" t="s">
        <v>968</v>
      </c>
      <c r="E315" t="s">
        <v>969</v>
      </c>
      <c r="F315" t="s">
        <v>142</v>
      </c>
      <c r="G315">
        <v>0</v>
      </c>
      <c r="H315">
        <f t="shared" si="8"/>
        <v>5</v>
      </c>
      <c r="I315" s="6">
        <f t="shared" si="9"/>
        <v>0.4</v>
      </c>
    </row>
    <row r="316" spans="1:9" x14ac:dyDescent="0.2">
      <c r="A316" t="s">
        <v>970</v>
      </c>
      <c r="B316">
        <v>2</v>
      </c>
      <c r="C316" t="s">
        <v>22</v>
      </c>
      <c r="D316" t="s">
        <v>971</v>
      </c>
      <c r="E316" t="s">
        <v>972</v>
      </c>
      <c r="F316" t="s">
        <v>33</v>
      </c>
      <c r="G316">
        <v>0</v>
      </c>
      <c r="H316">
        <f t="shared" si="8"/>
        <v>4</v>
      </c>
      <c r="I316" s="6">
        <f t="shared" si="9"/>
        <v>0.5</v>
      </c>
    </row>
    <row r="317" spans="1:9" x14ac:dyDescent="0.2">
      <c r="A317" t="s">
        <v>973</v>
      </c>
      <c r="B317">
        <v>7</v>
      </c>
      <c r="C317" t="s">
        <v>13</v>
      </c>
      <c r="D317" t="s">
        <v>974</v>
      </c>
      <c r="E317" t="s">
        <v>975</v>
      </c>
      <c r="F317" t="s">
        <v>46</v>
      </c>
      <c r="G317">
        <v>1</v>
      </c>
      <c r="H317">
        <f t="shared" si="8"/>
        <v>3</v>
      </c>
      <c r="I317" s="6">
        <f t="shared" si="9"/>
        <v>0.66666666666666663</v>
      </c>
    </row>
    <row r="318" spans="1:9" x14ac:dyDescent="0.2">
      <c r="A318" t="s">
        <v>976</v>
      </c>
      <c r="B318">
        <v>9</v>
      </c>
      <c r="C318" t="s">
        <v>8</v>
      </c>
      <c r="D318" t="s">
        <v>977</v>
      </c>
      <c r="E318" t="s">
        <v>978</v>
      </c>
      <c r="F318" t="s">
        <v>194</v>
      </c>
      <c r="G318">
        <v>1</v>
      </c>
      <c r="H318">
        <f t="shared" si="8"/>
        <v>3</v>
      </c>
      <c r="I318" s="6">
        <f t="shared" si="9"/>
        <v>1</v>
      </c>
    </row>
    <row r="319" spans="1:9" x14ac:dyDescent="0.2">
      <c r="A319" t="s">
        <v>979</v>
      </c>
      <c r="B319">
        <v>0</v>
      </c>
      <c r="C319" t="s">
        <v>13</v>
      </c>
      <c r="D319" t="s">
        <v>980</v>
      </c>
      <c r="E319" t="s">
        <v>981</v>
      </c>
      <c r="F319" t="s">
        <v>16</v>
      </c>
      <c r="G319">
        <v>1</v>
      </c>
      <c r="H319">
        <f t="shared" si="8"/>
        <v>5</v>
      </c>
      <c r="I319" s="6">
        <f t="shared" si="9"/>
        <v>0.6</v>
      </c>
    </row>
    <row r="320" spans="1:9" x14ac:dyDescent="0.2">
      <c r="A320" t="s">
        <v>982</v>
      </c>
      <c r="B320">
        <v>2</v>
      </c>
      <c r="C320" t="s">
        <v>8</v>
      </c>
      <c r="D320" t="s">
        <v>983</v>
      </c>
      <c r="E320" t="s">
        <v>984</v>
      </c>
      <c r="F320" t="s">
        <v>58</v>
      </c>
      <c r="G320">
        <v>1</v>
      </c>
      <c r="H320">
        <f t="shared" si="8"/>
        <v>2</v>
      </c>
      <c r="I320" s="6">
        <f t="shared" si="9"/>
        <v>1</v>
      </c>
    </row>
    <row r="321" spans="1:9" x14ac:dyDescent="0.2">
      <c r="A321" t="s">
        <v>985</v>
      </c>
      <c r="B321">
        <v>7</v>
      </c>
      <c r="C321" t="s">
        <v>8</v>
      </c>
      <c r="D321" t="s">
        <v>986</v>
      </c>
      <c r="E321" t="s">
        <v>987</v>
      </c>
      <c r="F321" t="s">
        <v>54</v>
      </c>
      <c r="G321">
        <v>0</v>
      </c>
      <c r="H321">
        <f t="shared" si="8"/>
        <v>11</v>
      </c>
      <c r="I321" s="6">
        <f t="shared" si="9"/>
        <v>0.63636363636363635</v>
      </c>
    </row>
    <row r="322" spans="1:9" x14ac:dyDescent="0.2">
      <c r="A322" t="s">
        <v>988</v>
      </c>
      <c r="B322">
        <v>7</v>
      </c>
      <c r="C322" t="s">
        <v>80</v>
      </c>
      <c r="D322" t="s">
        <v>989</v>
      </c>
      <c r="E322" t="s">
        <v>990</v>
      </c>
      <c r="F322" t="s">
        <v>58</v>
      </c>
      <c r="G322">
        <v>0</v>
      </c>
      <c r="H322">
        <f t="shared" ref="H322:H385" si="10">COUNTIF($F$2:$F$100, F322)</f>
        <v>2</v>
      </c>
      <c r="I322" s="6">
        <f t="shared" ref="I322:I385" si="11">SUMIFS($G$2:$G$100, $F$2:$F$100, F322) / COUNTIF($F$2:$F$100, F322)</f>
        <v>1</v>
      </c>
    </row>
    <row r="323" spans="1:9" x14ac:dyDescent="0.2">
      <c r="A323" t="s">
        <v>991</v>
      </c>
      <c r="B323">
        <v>2</v>
      </c>
      <c r="C323" t="s">
        <v>80</v>
      </c>
      <c r="D323" t="s">
        <v>992</v>
      </c>
      <c r="E323" t="s">
        <v>993</v>
      </c>
      <c r="F323" t="s">
        <v>37</v>
      </c>
      <c r="G323">
        <v>0</v>
      </c>
      <c r="H323">
        <f t="shared" si="10"/>
        <v>8</v>
      </c>
      <c r="I323" s="6">
        <f t="shared" si="11"/>
        <v>0.625</v>
      </c>
    </row>
    <row r="324" spans="1:9" x14ac:dyDescent="0.2">
      <c r="A324" t="s">
        <v>994</v>
      </c>
      <c r="B324">
        <v>3</v>
      </c>
      <c r="C324" t="s">
        <v>13</v>
      </c>
      <c r="D324" t="s">
        <v>995</v>
      </c>
      <c r="E324" t="s">
        <v>996</v>
      </c>
      <c r="F324" t="s">
        <v>42</v>
      </c>
      <c r="G324">
        <v>0</v>
      </c>
      <c r="H324">
        <f t="shared" si="10"/>
        <v>4</v>
      </c>
      <c r="I324" s="6">
        <f t="shared" si="11"/>
        <v>1</v>
      </c>
    </row>
    <row r="325" spans="1:9" x14ac:dyDescent="0.2">
      <c r="A325" t="s">
        <v>997</v>
      </c>
      <c r="B325">
        <v>7</v>
      </c>
      <c r="C325" t="s">
        <v>39</v>
      </c>
      <c r="D325" t="s">
        <v>998</v>
      </c>
      <c r="E325" t="s">
        <v>999</v>
      </c>
      <c r="F325" t="s">
        <v>221</v>
      </c>
      <c r="G325">
        <v>1</v>
      </c>
      <c r="H325">
        <f t="shared" si="10"/>
        <v>3</v>
      </c>
      <c r="I325" s="6">
        <f t="shared" si="11"/>
        <v>0.66666666666666663</v>
      </c>
    </row>
    <row r="326" spans="1:9" x14ac:dyDescent="0.2">
      <c r="A326" t="s">
        <v>1000</v>
      </c>
      <c r="B326">
        <v>8</v>
      </c>
      <c r="C326" t="s">
        <v>39</v>
      </c>
      <c r="D326" t="s">
        <v>1001</v>
      </c>
      <c r="E326" t="s">
        <v>1002</v>
      </c>
      <c r="F326" t="s">
        <v>62</v>
      </c>
      <c r="G326">
        <v>1</v>
      </c>
      <c r="H326">
        <f t="shared" si="10"/>
        <v>6</v>
      </c>
      <c r="I326" s="6">
        <f t="shared" si="11"/>
        <v>0.5</v>
      </c>
    </row>
    <row r="327" spans="1:9" x14ac:dyDescent="0.2">
      <c r="A327" t="s">
        <v>1003</v>
      </c>
      <c r="B327">
        <v>3</v>
      </c>
      <c r="C327" t="s">
        <v>80</v>
      </c>
      <c r="D327" t="s">
        <v>1004</v>
      </c>
      <c r="E327" t="s">
        <v>1005</v>
      </c>
      <c r="F327" t="s">
        <v>194</v>
      </c>
      <c r="G327">
        <v>1</v>
      </c>
      <c r="H327">
        <f t="shared" si="10"/>
        <v>3</v>
      </c>
      <c r="I327" s="6">
        <f t="shared" si="11"/>
        <v>1</v>
      </c>
    </row>
    <row r="328" spans="1:9" x14ac:dyDescent="0.2">
      <c r="A328" t="s">
        <v>1006</v>
      </c>
      <c r="B328">
        <v>9</v>
      </c>
      <c r="C328" t="s">
        <v>39</v>
      </c>
      <c r="D328" t="s">
        <v>1007</v>
      </c>
      <c r="E328" t="s">
        <v>1008</v>
      </c>
      <c r="F328" t="s">
        <v>58</v>
      </c>
      <c r="G328">
        <v>0</v>
      </c>
      <c r="H328">
        <f t="shared" si="10"/>
        <v>2</v>
      </c>
      <c r="I328" s="6">
        <f t="shared" si="11"/>
        <v>1</v>
      </c>
    </row>
    <row r="329" spans="1:9" x14ac:dyDescent="0.2">
      <c r="A329" t="s">
        <v>1009</v>
      </c>
      <c r="B329">
        <v>8</v>
      </c>
      <c r="C329" t="s">
        <v>39</v>
      </c>
      <c r="D329" t="s">
        <v>1010</v>
      </c>
      <c r="E329" t="s">
        <v>1011</v>
      </c>
      <c r="F329" t="s">
        <v>29</v>
      </c>
      <c r="G329">
        <v>0</v>
      </c>
      <c r="H329">
        <f t="shared" si="10"/>
        <v>8</v>
      </c>
      <c r="I329" s="6">
        <f t="shared" si="11"/>
        <v>0.875</v>
      </c>
    </row>
    <row r="330" spans="1:9" x14ac:dyDescent="0.2">
      <c r="A330" t="s">
        <v>1012</v>
      </c>
      <c r="B330">
        <v>3</v>
      </c>
      <c r="C330" t="s">
        <v>13</v>
      </c>
      <c r="D330" t="s">
        <v>1013</v>
      </c>
      <c r="E330" t="s">
        <v>1014</v>
      </c>
      <c r="F330" t="s">
        <v>16</v>
      </c>
      <c r="G330">
        <v>1</v>
      </c>
      <c r="H330">
        <f t="shared" si="10"/>
        <v>5</v>
      </c>
      <c r="I330" s="6">
        <f t="shared" si="11"/>
        <v>0.6</v>
      </c>
    </row>
    <row r="331" spans="1:9" x14ac:dyDescent="0.2">
      <c r="A331" t="s">
        <v>1015</v>
      </c>
      <c r="B331">
        <v>6</v>
      </c>
      <c r="C331" t="s">
        <v>80</v>
      </c>
      <c r="D331" t="s">
        <v>1016</v>
      </c>
      <c r="E331" t="s">
        <v>1017</v>
      </c>
      <c r="F331" t="s">
        <v>104</v>
      </c>
      <c r="G331">
        <v>1</v>
      </c>
      <c r="H331">
        <f t="shared" si="10"/>
        <v>4</v>
      </c>
      <c r="I331" s="6">
        <f t="shared" si="11"/>
        <v>0.25</v>
      </c>
    </row>
    <row r="332" spans="1:9" x14ac:dyDescent="0.2">
      <c r="A332" t="s">
        <v>1018</v>
      </c>
      <c r="B332">
        <v>5</v>
      </c>
      <c r="C332" t="s">
        <v>39</v>
      </c>
      <c r="D332" t="s">
        <v>1019</v>
      </c>
      <c r="E332" t="s">
        <v>1020</v>
      </c>
      <c r="F332" t="s">
        <v>25</v>
      </c>
      <c r="G332">
        <v>1</v>
      </c>
      <c r="H332">
        <f t="shared" si="10"/>
        <v>7</v>
      </c>
      <c r="I332" s="6">
        <f t="shared" si="11"/>
        <v>0.7142857142857143</v>
      </c>
    </row>
    <row r="333" spans="1:9" x14ac:dyDescent="0.2">
      <c r="A333" t="s">
        <v>1021</v>
      </c>
      <c r="B333">
        <v>8</v>
      </c>
      <c r="C333" t="s">
        <v>13</v>
      </c>
      <c r="D333" t="s">
        <v>1022</v>
      </c>
      <c r="E333" t="s">
        <v>1023</v>
      </c>
      <c r="F333" t="s">
        <v>37</v>
      </c>
      <c r="G333">
        <v>1</v>
      </c>
      <c r="H333">
        <f t="shared" si="10"/>
        <v>8</v>
      </c>
      <c r="I333" s="6">
        <f t="shared" si="11"/>
        <v>0.625</v>
      </c>
    </row>
    <row r="334" spans="1:9" x14ac:dyDescent="0.2">
      <c r="A334" t="s">
        <v>1024</v>
      </c>
      <c r="B334">
        <v>9</v>
      </c>
      <c r="C334" t="s">
        <v>13</v>
      </c>
      <c r="D334" t="s">
        <v>1025</v>
      </c>
      <c r="E334" t="s">
        <v>1026</v>
      </c>
      <c r="F334" t="s">
        <v>58</v>
      </c>
      <c r="G334">
        <v>1</v>
      </c>
      <c r="H334">
        <f t="shared" si="10"/>
        <v>2</v>
      </c>
      <c r="I334" s="6">
        <f t="shared" si="11"/>
        <v>1</v>
      </c>
    </row>
    <row r="335" spans="1:9" x14ac:dyDescent="0.2">
      <c r="A335" t="s">
        <v>1027</v>
      </c>
      <c r="B335">
        <v>0</v>
      </c>
      <c r="C335" t="s">
        <v>39</v>
      </c>
      <c r="D335" t="s">
        <v>1028</v>
      </c>
      <c r="E335" t="s">
        <v>1029</v>
      </c>
      <c r="F335" t="s">
        <v>207</v>
      </c>
      <c r="G335">
        <v>1</v>
      </c>
      <c r="H335">
        <f t="shared" si="10"/>
        <v>3</v>
      </c>
      <c r="I335" s="6">
        <f t="shared" si="11"/>
        <v>1</v>
      </c>
    </row>
    <row r="336" spans="1:9" x14ac:dyDescent="0.2">
      <c r="A336" t="s">
        <v>1030</v>
      </c>
      <c r="B336">
        <v>3</v>
      </c>
      <c r="C336" t="s">
        <v>80</v>
      </c>
      <c r="D336" t="s">
        <v>1031</v>
      </c>
      <c r="E336" t="s">
        <v>1032</v>
      </c>
      <c r="F336" t="s">
        <v>29</v>
      </c>
      <c r="G336">
        <v>1</v>
      </c>
      <c r="H336">
        <f t="shared" si="10"/>
        <v>8</v>
      </c>
      <c r="I336" s="6">
        <f t="shared" si="11"/>
        <v>0.875</v>
      </c>
    </row>
    <row r="337" spans="1:9" x14ac:dyDescent="0.2">
      <c r="A337" t="s">
        <v>1033</v>
      </c>
      <c r="B337">
        <v>3</v>
      </c>
      <c r="C337" t="s">
        <v>80</v>
      </c>
      <c r="D337" t="s">
        <v>1034</v>
      </c>
      <c r="E337" t="s">
        <v>1035</v>
      </c>
      <c r="F337" t="s">
        <v>54</v>
      </c>
      <c r="G337">
        <v>0</v>
      </c>
      <c r="H337">
        <f t="shared" si="10"/>
        <v>11</v>
      </c>
      <c r="I337" s="6">
        <f t="shared" si="11"/>
        <v>0.63636363636363635</v>
      </c>
    </row>
    <row r="338" spans="1:9" x14ac:dyDescent="0.2">
      <c r="A338" t="s">
        <v>1036</v>
      </c>
      <c r="B338">
        <v>4</v>
      </c>
      <c r="C338" t="s">
        <v>8</v>
      </c>
      <c r="D338" t="s">
        <v>1037</v>
      </c>
      <c r="E338" t="s">
        <v>1038</v>
      </c>
      <c r="F338" t="s">
        <v>62</v>
      </c>
      <c r="G338">
        <v>1</v>
      </c>
      <c r="H338">
        <f t="shared" si="10"/>
        <v>6</v>
      </c>
      <c r="I338" s="6">
        <f t="shared" si="11"/>
        <v>0.5</v>
      </c>
    </row>
    <row r="339" spans="1:9" x14ac:dyDescent="0.2">
      <c r="A339" t="s">
        <v>1039</v>
      </c>
      <c r="B339">
        <v>0</v>
      </c>
      <c r="C339" t="s">
        <v>8</v>
      </c>
      <c r="D339" t="s">
        <v>1040</v>
      </c>
      <c r="E339" t="s">
        <v>1041</v>
      </c>
      <c r="F339" t="s">
        <v>142</v>
      </c>
      <c r="G339">
        <v>1</v>
      </c>
      <c r="H339">
        <f t="shared" si="10"/>
        <v>5</v>
      </c>
      <c r="I339" s="6">
        <f t="shared" si="11"/>
        <v>0.4</v>
      </c>
    </row>
    <row r="340" spans="1:9" x14ac:dyDescent="0.2">
      <c r="A340" t="s">
        <v>1042</v>
      </c>
      <c r="B340">
        <v>2</v>
      </c>
      <c r="C340" t="s">
        <v>13</v>
      </c>
      <c r="D340" t="s">
        <v>1043</v>
      </c>
      <c r="E340" t="s">
        <v>1044</v>
      </c>
      <c r="F340" t="s">
        <v>108</v>
      </c>
      <c r="G340">
        <v>1</v>
      </c>
      <c r="H340">
        <f t="shared" si="10"/>
        <v>2</v>
      </c>
      <c r="I340" s="6">
        <f t="shared" si="11"/>
        <v>1</v>
      </c>
    </row>
    <row r="341" spans="1:9" x14ac:dyDescent="0.2">
      <c r="A341" t="s">
        <v>1045</v>
      </c>
      <c r="B341">
        <v>2</v>
      </c>
      <c r="C341" t="s">
        <v>39</v>
      </c>
      <c r="D341" t="s">
        <v>1046</v>
      </c>
      <c r="E341" t="s">
        <v>1047</v>
      </c>
      <c r="F341" t="s">
        <v>33</v>
      </c>
      <c r="G341">
        <v>0</v>
      </c>
      <c r="H341">
        <f t="shared" si="10"/>
        <v>4</v>
      </c>
      <c r="I341" s="6">
        <f t="shared" si="11"/>
        <v>0.5</v>
      </c>
    </row>
    <row r="342" spans="1:9" x14ac:dyDescent="0.2">
      <c r="A342" t="s">
        <v>1048</v>
      </c>
      <c r="B342">
        <v>8</v>
      </c>
      <c r="C342" t="s">
        <v>39</v>
      </c>
      <c r="D342" t="s">
        <v>1049</v>
      </c>
      <c r="E342" t="s">
        <v>1050</v>
      </c>
      <c r="F342" t="s">
        <v>104</v>
      </c>
      <c r="G342">
        <v>0</v>
      </c>
      <c r="H342">
        <f t="shared" si="10"/>
        <v>4</v>
      </c>
      <c r="I342" s="6">
        <f t="shared" si="11"/>
        <v>0.25</v>
      </c>
    </row>
    <row r="343" spans="1:9" x14ac:dyDescent="0.2">
      <c r="A343" t="s">
        <v>1051</v>
      </c>
      <c r="B343">
        <v>8</v>
      </c>
      <c r="C343" t="s">
        <v>8</v>
      </c>
      <c r="D343" t="s">
        <v>1052</v>
      </c>
      <c r="E343" t="s">
        <v>1053</v>
      </c>
      <c r="F343" t="s">
        <v>33</v>
      </c>
      <c r="G343">
        <v>0</v>
      </c>
      <c r="H343">
        <f t="shared" si="10"/>
        <v>4</v>
      </c>
      <c r="I343" s="6">
        <f t="shared" si="11"/>
        <v>0.5</v>
      </c>
    </row>
    <row r="344" spans="1:9" x14ac:dyDescent="0.2">
      <c r="A344" t="s">
        <v>1054</v>
      </c>
      <c r="B344">
        <v>3</v>
      </c>
      <c r="C344" t="s">
        <v>80</v>
      </c>
      <c r="D344" t="s">
        <v>1055</v>
      </c>
      <c r="E344" t="s">
        <v>1056</v>
      </c>
      <c r="F344" t="s">
        <v>11</v>
      </c>
      <c r="G344">
        <v>0</v>
      </c>
      <c r="H344">
        <f t="shared" si="10"/>
        <v>4</v>
      </c>
      <c r="I344" s="6">
        <f t="shared" si="11"/>
        <v>0.5</v>
      </c>
    </row>
    <row r="345" spans="1:9" x14ac:dyDescent="0.2">
      <c r="A345" t="s">
        <v>1057</v>
      </c>
      <c r="B345">
        <v>2</v>
      </c>
      <c r="C345" t="s">
        <v>80</v>
      </c>
      <c r="D345" t="s">
        <v>1058</v>
      </c>
      <c r="E345" t="s">
        <v>1059</v>
      </c>
      <c r="F345" t="s">
        <v>42</v>
      </c>
      <c r="G345">
        <v>1</v>
      </c>
      <c r="H345">
        <f t="shared" si="10"/>
        <v>4</v>
      </c>
      <c r="I345" s="6">
        <f t="shared" si="11"/>
        <v>1</v>
      </c>
    </row>
    <row r="346" spans="1:9" x14ac:dyDescent="0.2">
      <c r="A346" t="s">
        <v>1060</v>
      </c>
      <c r="B346">
        <v>0</v>
      </c>
      <c r="C346" t="s">
        <v>13</v>
      </c>
      <c r="D346" t="s">
        <v>1061</v>
      </c>
      <c r="E346" t="s">
        <v>1062</v>
      </c>
      <c r="F346" t="s">
        <v>33</v>
      </c>
      <c r="G346">
        <v>1</v>
      </c>
      <c r="H346">
        <f t="shared" si="10"/>
        <v>4</v>
      </c>
      <c r="I346" s="6">
        <f t="shared" si="11"/>
        <v>0.5</v>
      </c>
    </row>
    <row r="347" spans="1:9" x14ac:dyDescent="0.2">
      <c r="A347" t="s">
        <v>1063</v>
      </c>
      <c r="B347">
        <v>7</v>
      </c>
      <c r="C347" t="s">
        <v>80</v>
      </c>
      <c r="D347" t="s">
        <v>468</v>
      </c>
      <c r="E347" t="s">
        <v>1064</v>
      </c>
      <c r="F347" t="s">
        <v>16</v>
      </c>
      <c r="G347">
        <v>0</v>
      </c>
      <c r="H347">
        <f t="shared" si="10"/>
        <v>5</v>
      </c>
      <c r="I347" s="6">
        <f t="shared" si="11"/>
        <v>0.6</v>
      </c>
    </row>
    <row r="348" spans="1:9" x14ac:dyDescent="0.2">
      <c r="A348" t="s">
        <v>1065</v>
      </c>
      <c r="B348">
        <v>0</v>
      </c>
      <c r="C348" t="s">
        <v>22</v>
      </c>
      <c r="D348" t="s">
        <v>1066</v>
      </c>
      <c r="E348" t="s">
        <v>1067</v>
      </c>
      <c r="F348" t="s">
        <v>211</v>
      </c>
      <c r="G348">
        <v>0</v>
      </c>
      <c r="H348">
        <f t="shared" si="10"/>
        <v>3</v>
      </c>
      <c r="I348" s="6">
        <f t="shared" si="11"/>
        <v>0.33333333333333331</v>
      </c>
    </row>
    <row r="349" spans="1:9" x14ac:dyDescent="0.2">
      <c r="A349" t="s">
        <v>1068</v>
      </c>
      <c r="B349">
        <v>1</v>
      </c>
      <c r="C349" t="s">
        <v>13</v>
      </c>
      <c r="D349" t="s">
        <v>1069</v>
      </c>
      <c r="E349" t="s">
        <v>1070</v>
      </c>
      <c r="F349" t="s">
        <v>207</v>
      </c>
      <c r="G349">
        <v>1</v>
      </c>
      <c r="H349">
        <f t="shared" si="10"/>
        <v>3</v>
      </c>
      <c r="I349" s="6">
        <f t="shared" si="11"/>
        <v>1</v>
      </c>
    </row>
    <row r="350" spans="1:9" x14ac:dyDescent="0.2">
      <c r="A350" t="s">
        <v>1071</v>
      </c>
      <c r="B350">
        <v>6</v>
      </c>
      <c r="C350" t="s">
        <v>13</v>
      </c>
      <c r="D350" t="s">
        <v>1072</v>
      </c>
      <c r="E350" t="s">
        <v>1073</v>
      </c>
      <c r="F350" t="s">
        <v>11</v>
      </c>
      <c r="G350">
        <v>0</v>
      </c>
      <c r="H350">
        <f t="shared" si="10"/>
        <v>4</v>
      </c>
      <c r="I350" s="6">
        <f t="shared" si="11"/>
        <v>0.5</v>
      </c>
    </row>
    <row r="351" spans="1:9" x14ac:dyDescent="0.2">
      <c r="A351" t="s">
        <v>1074</v>
      </c>
      <c r="B351">
        <v>11</v>
      </c>
      <c r="C351" t="s">
        <v>13</v>
      </c>
      <c r="D351" t="s">
        <v>1075</v>
      </c>
      <c r="E351" t="s">
        <v>1076</v>
      </c>
      <c r="F351" t="s">
        <v>11</v>
      </c>
      <c r="G351">
        <v>1</v>
      </c>
      <c r="H351">
        <f t="shared" si="10"/>
        <v>4</v>
      </c>
      <c r="I351" s="6">
        <f t="shared" si="11"/>
        <v>0.5</v>
      </c>
    </row>
    <row r="352" spans="1:9" x14ac:dyDescent="0.2">
      <c r="A352" t="s">
        <v>1077</v>
      </c>
      <c r="B352">
        <v>5</v>
      </c>
      <c r="C352" t="s">
        <v>22</v>
      </c>
      <c r="D352" t="s">
        <v>1078</v>
      </c>
      <c r="E352" t="s">
        <v>1079</v>
      </c>
      <c r="F352" t="s">
        <v>54</v>
      </c>
      <c r="G352">
        <v>1</v>
      </c>
      <c r="H352">
        <f t="shared" si="10"/>
        <v>11</v>
      </c>
      <c r="I352" s="6">
        <f t="shared" si="11"/>
        <v>0.63636363636363635</v>
      </c>
    </row>
    <row r="353" spans="1:9" x14ac:dyDescent="0.2">
      <c r="A353" t="s">
        <v>1080</v>
      </c>
      <c r="B353">
        <v>8</v>
      </c>
      <c r="C353" t="s">
        <v>80</v>
      </c>
      <c r="D353" t="s">
        <v>1081</v>
      </c>
      <c r="E353" t="s">
        <v>1082</v>
      </c>
      <c r="F353" t="s">
        <v>20</v>
      </c>
      <c r="G353">
        <v>0</v>
      </c>
      <c r="H353">
        <f t="shared" si="10"/>
        <v>8</v>
      </c>
      <c r="I353" s="6">
        <f t="shared" si="11"/>
        <v>0.5</v>
      </c>
    </row>
    <row r="354" spans="1:9" x14ac:dyDescent="0.2">
      <c r="A354" t="s">
        <v>1083</v>
      </c>
      <c r="B354">
        <v>3</v>
      </c>
      <c r="C354" t="s">
        <v>22</v>
      </c>
      <c r="D354" t="s">
        <v>1084</v>
      </c>
      <c r="E354" t="s">
        <v>1085</v>
      </c>
      <c r="F354" t="s">
        <v>62</v>
      </c>
      <c r="G354">
        <v>0</v>
      </c>
      <c r="H354">
        <f t="shared" si="10"/>
        <v>6</v>
      </c>
      <c r="I354" s="6">
        <f t="shared" si="11"/>
        <v>0.5</v>
      </c>
    </row>
    <row r="355" spans="1:9" x14ac:dyDescent="0.2">
      <c r="A355" t="s">
        <v>1086</v>
      </c>
      <c r="B355">
        <v>6</v>
      </c>
      <c r="C355" t="s">
        <v>39</v>
      </c>
      <c r="D355" t="s">
        <v>1087</v>
      </c>
      <c r="E355" t="s">
        <v>1088</v>
      </c>
      <c r="F355" t="s">
        <v>211</v>
      </c>
      <c r="G355">
        <v>1</v>
      </c>
      <c r="H355">
        <f t="shared" si="10"/>
        <v>3</v>
      </c>
      <c r="I355" s="6">
        <f t="shared" si="11"/>
        <v>0.33333333333333331</v>
      </c>
    </row>
    <row r="356" spans="1:9" x14ac:dyDescent="0.2">
      <c r="A356" t="s">
        <v>1089</v>
      </c>
      <c r="B356">
        <v>10</v>
      </c>
      <c r="C356" t="s">
        <v>80</v>
      </c>
      <c r="D356" t="s">
        <v>1090</v>
      </c>
      <c r="E356" t="s">
        <v>1091</v>
      </c>
      <c r="F356" t="s">
        <v>207</v>
      </c>
      <c r="G356">
        <v>1</v>
      </c>
      <c r="H356">
        <f t="shared" si="10"/>
        <v>3</v>
      </c>
      <c r="I356" s="6">
        <f t="shared" si="11"/>
        <v>1</v>
      </c>
    </row>
    <row r="357" spans="1:9" x14ac:dyDescent="0.2">
      <c r="A357" t="s">
        <v>1092</v>
      </c>
      <c r="B357">
        <v>1</v>
      </c>
      <c r="C357" t="s">
        <v>13</v>
      </c>
      <c r="D357" t="s">
        <v>1093</v>
      </c>
      <c r="E357" t="s">
        <v>1094</v>
      </c>
      <c r="F357" t="s">
        <v>108</v>
      </c>
      <c r="G357">
        <v>0</v>
      </c>
      <c r="H357">
        <f t="shared" si="10"/>
        <v>2</v>
      </c>
      <c r="I357" s="6">
        <f t="shared" si="11"/>
        <v>1</v>
      </c>
    </row>
    <row r="358" spans="1:9" x14ac:dyDescent="0.2">
      <c r="A358" t="s">
        <v>1095</v>
      </c>
      <c r="B358">
        <v>6</v>
      </c>
      <c r="C358" t="s">
        <v>80</v>
      </c>
      <c r="D358" t="s">
        <v>1096</v>
      </c>
      <c r="E358" t="s">
        <v>1097</v>
      </c>
      <c r="F358" t="s">
        <v>108</v>
      </c>
      <c r="G358">
        <v>1</v>
      </c>
      <c r="H358">
        <f t="shared" si="10"/>
        <v>2</v>
      </c>
      <c r="I358" s="6">
        <f t="shared" si="11"/>
        <v>1</v>
      </c>
    </row>
    <row r="359" spans="1:9" x14ac:dyDescent="0.2">
      <c r="A359" t="s">
        <v>1098</v>
      </c>
      <c r="B359">
        <v>1</v>
      </c>
      <c r="C359" t="s">
        <v>39</v>
      </c>
      <c r="D359" t="s">
        <v>1099</v>
      </c>
      <c r="E359" t="s">
        <v>1100</v>
      </c>
      <c r="F359" t="s">
        <v>42</v>
      </c>
      <c r="G359">
        <v>0</v>
      </c>
      <c r="H359">
        <f t="shared" si="10"/>
        <v>4</v>
      </c>
      <c r="I359" s="6">
        <f t="shared" si="11"/>
        <v>1</v>
      </c>
    </row>
    <row r="360" spans="1:9" x14ac:dyDescent="0.2">
      <c r="A360" t="s">
        <v>1101</v>
      </c>
      <c r="B360">
        <v>6</v>
      </c>
      <c r="C360" t="s">
        <v>80</v>
      </c>
      <c r="D360" t="s">
        <v>1102</v>
      </c>
      <c r="E360" t="s">
        <v>1103</v>
      </c>
      <c r="F360" t="s">
        <v>42</v>
      </c>
      <c r="G360">
        <v>1</v>
      </c>
      <c r="H360">
        <f t="shared" si="10"/>
        <v>4</v>
      </c>
      <c r="I360" s="6">
        <f t="shared" si="11"/>
        <v>1</v>
      </c>
    </row>
    <row r="361" spans="1:9" x14ac:dyDescent="0.2">
      <c r="A361" t="s">
        <v>1104</v>
      </c>
      <c r="B361">
        <v>5</v>
      </c>
      <c r="C361" t="s">
        <v>8</v>
      </c>
      <c r="D361" t="s">
        <v>334</v>
      </c>
      <c r="E361" t="s">
        <v>1105</v>
      </c>
      <c r="F361" t="s">
        <v>33</v>
      </c>
      <c r="G361">
        <v>0</v>
      </c>
      <c r="H361">
        <f t="shared" si="10"/>
        <v>4</v>
      </c>
      <c r="I361" s="6">
        <f t="shared" si="11"/>
        <v>0.5</v>
      </c>
    </row>
    <row r="362" spans="1:9" x14ac:dyDescent="0.2">
      <c r="A362" t="s">
        <v>1106</v>
      </c>
      <c r="B362">
        <v>1</v>
      </c>
      <c r="C362" t="s">
        <v>80</v>
      </c>
      <c r="D362" t="s">
        <v>1107</v>
      </c>
      <c r="E362" t="s">
        <v>1108</v>
      </c>
      <c r="F362" t="s">
        <v>46</v>
      </c>
      <c r="G362">
        <v>0</v>
      </c>
      <c r="H362">
        <f t="shared" si="10"/>
        <v>3</v>
      </c>
      <c r="I362" s="6">
        <f t="shared" si="11"/>
        <v>0.66666666666666663</v>
      </c>
    </row>
    <row r="363" spans="1:9" x14ac:dyDescent="0.2">
      <c r="A363" t="s">
        <v>1109</v>
      </c>
      <c r="B363">
        <v>7</v>
      </c>
      <c r="C363" t="s">
        <v>13</v>
      </c>
      <c r="D363" t="s">
        <v>1110</v>
      </c>
      <c r="E363" t="s">
        <v>157</v>
      </c>
      <c r="F363" t="s">
        <v>29</v>
      </c>
      <c r="G363">
        <v>1</v>
      </c>
      <c r="H363">
        <f t="shared" si="10"/>
        <v>8</v>
      </c>
      <c r="I363" s="6">
        <f t="shared" si="11"/>
        <v>0.875</v>
      </c>
    </row>
    <row r="364" spans="1:9" x14ac:dyDescent="0.2">
      <c r="A364" t="s">
        <v>1111</v>
      </c>
      <c r="B364">
        <v>3</v>
      </c>
      <c r="C364" t="s">
        <v>22</v>
      </c>
      <c r="D364" t="s">
        <v>1112</v>
      </c>
      <c r="E364" t="s">
        <v>1113</v>
      </c>
      <c r="F364" t="s">
        <v>11</v>
      </c>
      <c r="G364">
        <v>1</v>
      </c>
      <c r="H364">
        <f t="shared" si="10"/>
        <v>4</v>
      </c>
      <c r="I364" s="6">
        <f t="shared" si="11"/>
        <v>0.5</v>
      </c>
    </row>
    <row r="365" spans="1:9" x14ac:dyDescent="0.2">
      <c r="A365" t="s">
        <v>1114</v>
      </c>
      <c r="B365">
        <v>3</v>
      </c>
      <c r="C365" t="s">
        <v>8</v>
      </c>
      <c r="D365" t="s">
        <v>1115</v>
      </c>
      <c r="E365" t="s">
        <v>1116</v>
      </c>
      <c r="F365" t="s">
        <v>11</v>
      </c>
      <c r="G365">
        <v>1</v>
      </c>
      <c r="H365">
        <f t="shared" si="10"/>
        <v>4</v>
      </c>
      <c r="I365" s="6">
        <f t="shared" si="11"/>
        <v>0.5</v>
      </c>
    </row>
    <row r="366" spans="1:9" x14ac:dyDescent="0.2">
      <c r="A366" t="s">
        <v>1117</v>
      </c>
      <c r="B366">
        <v>9</v>
      </c>
      <c r="C366" t="s">
        <v>8</v>
      </c>
      <c r="D366" t="s">
        <v>1118</v>
      </c>
      <c r="E366" t="s">
        <v>1119</v>
      </c>
      <c r="F366" t="s">
        <v>11</v>
      </c>
      <c r="G366">
        <v>1</v>
      </c>
      <c r="H366">
        <f t="shared" si="10"/>
        <v>4</v>
      </c>
      <c r="I366" s="6">
        <f t="shared" si="11"/>
        <v>0.5</v>
      </c>
    </row>
    <row r="367" spans="1:9" x14ac:dyDescent="0.2">
      <c r="A367" t="s">
        <v>1120</v>
      </c>
      <c r="B367">
        <v>2</v>
      </c>
      <c r="C367" t="s">
        <v>13</v>
      </c>
      <c r="D367" t="s">
        <v>1121</v>
      </c>
      <c r="E367" t="s">
        <v>1122</v>
      </c>
      <c r="F367" t="s">
        <v>20</v>
      </c>
      <c r="G367">
        <v>1</v>
      </c>
      <c r="H367">
        <f t="shared" si="10"/>
        <v>8</v>
      </c>
      <c r="I367" s="6">
        <f t="shared" si="11"/>
        <v>0.5</v>
      </c>
    </row>
    <row r="368" spans="1:9" x14ac:dyDescent="0.2">
      <c r="A368" t="s">
        <v>1123</v>
      </c>
      <c r="B368">
        <v>1</v>
      </c>
      <c r="C368" t="s">
        <v>13</v>
      </c>
      <c r="D368" t="s">
        <v>1124</v>
      </c>
      <c r="E368" t="s">
        <v>1125</v>
      </c>
      <c r="F368" t="s">
        <v>142</v>
      </c>
      <c r="G368">
        <v>1</v>
      </c>
      <c r="H368">
        <f t="shared" si="10"/>
        <v>5</v>
      </c>
      <c r="I368" s="6">
        <f t="shared" si="11"/>
        <v>0.4</v>
      </c>
    </row>
    <row r="369" spans="1:9" x14ac:dyDescent="0.2">
      <c r="A369" t="s">
        <v>1126</v>
      </c>
      <c r="B369">
        <v>2</v>
      </c>
      <c r="C369" t="s">
        <v>39</v>
      </c>
      <c r="D369" t="s">
        <v>1127</v>
      </c>
      <c r="E369" t="s">
        <v>1128</v>
      </c>
      <c r="F369" t="s">
        <v>16</v>
      </c>
      <c r="G369">
        <v>1</v>
      </c>
      <c r="H369">
        <f t="shared" si="10"/>
        <v>5</v>
      </c>
      <c r="I369" s="6">
        <f t="shared" si="11"/>
        <v>0.6</v>
      </c>
    </row>
    <row r="370" spans="1:9" x14ac:dyDescent="0.2">
      <c r="A370" t="s">
        <v>1129</v>
      </c>
      <c r="B370">
        <v>12</v>
      </c>
      <c r="C370" t="s">
        <v>39</v>
      </c>
      <c r="D370" t="s">
        <v>1130</v>
      </c>
      <c r="E370" t="s">
        <v>1131</v>
      </c>
      <c r="F370" t="s">
        <v>42</v>
      </c>
      <c r="G370">
        <v>1</v>
      </c>
      <c r="H370">
        <f t="shared" si="10"/>
        <v>4</v>
      </c>
      <c r="I370" s="6">
        <f t="shared" si="11"/>
        <v>1</v>
      </c>
    </row>
    <row r="371" spans="1:9" x14ac:dyDescent="0.2">
      <c r="A371" t="s">
        <v>1132</v>
      </c>
      <c r="B371">
        <v>1</v>
      </c>
      <c r="C371" t="s">
        <v>8</v>
      </c>
      <c r="D371" t="s">
        <v>1133</v>
      </c>
      <c r="E371" t="s">
        <v>1134</v>
      </c>
      <c r="F371" t="s">
        <v>54</v>
      </c>
      <c r="G371">
        <v>1</v>
      </c>
      <c r="H371">
        <f t="shared" si="10"/>
        <v>11</v>
      </c>
      <c r="I371" s="6">
        <f t="shared" si="11"/>
        <v>0.63636363636363635</v>
      </c>
    </row>
    <row r="372" spans="1:9" x14ac:dyDescent="0.2">
      <c r="A372" t="s">
        <v>1135</v>
      </c>
      <c r="B372">
        <v>11</v>
      </c>
      <c r="C372" t="s">
        <v>80</v>
      </c>
      <c r="D372" t="s">
        <v>1136</v>
      </c>
      <c r="E372" t="s">
        <v>1137</v>
      </c>
      <c r="F372" t="s">
        <v>104</v>
      </c>
      <c r="G372">
        <v>1</v>
      </c>
      <c r="H372">
        <f t="shared" si="10"/>
        <v>4</v>
      </c>
      <c r="I372" s="6">
        <f t="shared" si="11"/>
        <v>0.25</v>
      </c>
    </row>
    <row r="373" spans="1:9" x14ac:dyDescent="0.2">
      <c r="A373" t="s">
        <v>1138</v>
      </c>
      <c r="B373">
        <v>5</v>
      </c>
      <c r="C373" t="s">
        <v>13</v>
      </c>
      <c r="D373" t="s">
        <v>1139</v>
      </c>
      <c r="E373" t="s">
        <v>1140</v>
      </c>
      <c r="F373" t="s">
        <v>194</v>
      </c>
      <c r="G373">
        <v>0</v>
      </c>
      <c r="H373">
        <f t="shared" si="10"/>
        <v>3</v>
      </c>
      <c r="I373" s="6">
        <f t="shared" si="11"/>
        <v>1</v>
      </c>
    </row>
    <row r="374" spans="1:9" x14ac:dyDescent="0.2">
      <c r="A374" t="s">
        <v>1141</v>
      </c>
      <c r="B374">
        <v>9</v>
      </c>
      <c r="C374" t="s">
        <v>13</v>
      </c>
      <c r="D374" t="s">
        <v>1142</v>
      </c>
      <c r="E374" t="s">
        <v>1143</v>
      </c>
      <c r="F374" t="s">
        <v>42</v>
      </c>
      <c r="G374">
        <v>1</v>
      </c>
      <c r="H374">
        <f t="shared" si="10"/>
        <v>4</v>
      </c>
      <c r="I374" s="6">
        <f t="shared" si="11"/>
        <v>1</v>
      </c>
    </row>
    <row r="375" spans="1:9" x14ac:dyDescent="0.2">
      <c r="A375" t="s">
        <v>1144</v>
      </c>
      <c r="B375">
        <v>6</v>
      </c>
      <c r="C375" t="s">
        <v>8</v>
      </c>
      <c r="D375" t="s">
        <v>1145</v>
      </c>
      <c r="E375" t="s">
        <v>1146</v>
      </c>
      <c r="F375" t="s">
        <v>50</v>
      </c>
      <c r="G375">
        <v>1</v>
      </c>
      <c r="H375">
        <f t="shared" si="10"/>
        <v>2</v>
      </c>
      <c r="I375" s="6">
        <f t="shared" si="11"/>
        <v>0.5</v>
      </c>
    </row>
    <row r="376" spans="1:9" x14ac:dyDescent="0.2">
      <c r="A376" t="s">
        <v>1147</v>
      </c>
      <c r="B376">
        <v>0</v>
      </c>
      <c r="C376" t="s">
        <v>80</v>
      </c>
      <c r="D376" t="s">
        <v>1148</v>
      </c>
      <c r="E376" t="s">
        <v>1149</v>
      </c>
      <c r="F376" t="s">
        <v>58</v>
      </c>
      <c r="G376">
        <v>1</v>
      </c>
      <c r="H376">
        <f t="shared" si="10"/>
        <v>2</v>
      </c>
      <c r="I376" s="6">
        <f t="shared" si="11"/>
        <v>1</v>
      </c>
    </row>
    <row r="377" spans="1:9" x14ac:dyDescent="0.2">
      <c r="A377" t="s">
        <v>1150</v>
      </c>
      <c r="B377">
        <v>5</v>
      </c>
      <c r="C377" t="s">
        <v>8</v>
      </c>
      <c r="D377" t="s">
        <v>1151</v>
      </c>
      <c r="E377" t="s">
        <v>1152</v>
      </c>
      <c r="F377" t="s">
        <v>46</v>
      </c>
      <c r="G377">
        <v>1</v>
      </c>
      <c r="H377">
        <f t="shared" si="10"/>
        <v>3</v>
      </c>
      <c r="I377" s="6">
        <f t="shared" si="11"/>
        <v>0.66666666666666663</v>
      </c>
    </row>
    <row r="378" spans="1:9" x14ac:dyDescent="0.2">
      <c r="A378" t="s">
        <v>1153</v>
      </c>
      <c r="B378">
        <v>2</v>
      </c>
      <c r="C378" t="s">
        <v>8</v>
      </c>
      <c r="D378" t="s">
        <v>1154</v>
      </c>
      <c r="E378" t="s">
        <v>1155</v>
      </c>
      <c r="F378" t="s">
        <v>211</v>
      </c>
      <c r="G378">
        <v>0</v>
      </c>
      <c r="H378">
        <f t="shared" si="10"/>
        <v>3</v>
      </c>
      <c r="I378" s="6">
        <f t="shared" si="11"/>
        <v>0.33333333333333331</v>
      </c>
    </row>
    <row r="379" spans="1:9" x14ac:dyDescent="0.2">
      <c r="A379" t="s">
        <v>1156</v>
      </c>
      <c r="B379">
        <v>7</v>
      </c>
      <c r="C379" t="s">
        <v>39</v>
      </c>
      <c r="D379" t="s">
        <v>1157</v>
      </c>
      <c r="E379" t="s">
        <v>1158</v>
      </c>
      <c r="F379" t="s">
        <v>221</v>
      </c>
      <c r="G379">
        <v>0</v>
      </c>
      <c r="H379">
        <f t="shared" si="10"/>
        <v>3</v>
      </c>
      <c r="I379" s="6">
        <f t="shared" si="11"/>
        <v>0.66666666666666663</v>
      </c>
    </row>
    <row r="380" spans="1:9" x14ac:dyDescent="0.2">
      <c r="A380" t="s">
        <v>1159</v>
      </c>
      <c r="B380">
        <v>8</v>
      </c>
      <c r="C380" t="s">
        <v>8</v>
      </c>
      <c r="D380" t="s">
        <v>1160</v>
      </c>
      <c r="E380" t="s">
        <v>1161</v>
      </c>
      <c r="F380" t="s">
        <v>108</v>
      </c>
      <c r="G380">
        <v>1</v>
      </c>
      <c r="H380">
        <f t="shared" si="10"/>
        <v>2</v>
      </c>
      <c r="I380" s="6">
        <f t="shared" si="11"/>
        <v>1</v>
      </c>
    </row>
    <row r="381" spans="1:9" x14ac:dyDescent="0.2">
      <c r="A381" t="s">
        <v>1162</v>
      </c>
      <c r="B381">
        <v>1</v>
      </c>
      <c r="C381" t="s">
        <v>8</v>
      </c>
      <c r="D381" t="s">
        <v>1163</v>
      </c>
      <c r="E381" t="s">
        <v>1164</v>
      </c>
      <c r="F381" t="s">
        <v>104</v>
      </c>
      <c r="G381">
        <v>1</v>
      </c>
      <c r="H381">
        <f t="shared" si="10"/>
        <v>4</v>
      </c>
      <c r="I381" s="6">
        <f t="shared" si="11"/>
        <v>0.25</v>
      </c>
    </row>
    <row r="382" spans="1:9" x14ac:dyDescent="0.2">
      <c r="A382" t="s">
        <v>1165</v>
      </c>
      <c r="B382">
        <v>2</v>
      </c>
      <c r="C382" t="s">
        <v>22</v>
      </c>
      <c r="D382" t="s">
        <v>1166</v>
      </c>
      <c r="E382" t="s">
        <v>1167</v>
      </c>
      <c r="F382" t="s">
        <v>54</v>
      </c>
      <c r="G382">
        <v>1</v>
      </c>
      <c r="H382">
        <f t="shared" si="10"/>
        <v>11</v>
      </c>
      <c r="I382" s="6">
        <f t="shared" si="11"/>
        <v>0.63636363636363635</v>
      </c>
    </row>
    <row r="383" spans="1:9" x14ac:dyDescent="0.2">
      <c r="A383" t="s">
        <v>1168</v>
      </c>
      <c r="B383">
        <v>6</v>
      </c>
      <c r="C383" t="s">
        <v>22</v>
      </c>
      <c r="D383" t="s">
        <v>1169</v>
      </c>
      <c r="E383" t="s">
        <v>1170</v>
      </c>
      <c r="F383" t="s">
        <v>108</v>
      </c>
      <c r="G383">
        <v>1</v>
      </c>
      <c r="H383">
        <f t="shared" si="10"/>
        <v>2</v>
      </c>
      <c r="I383" s="6">
        <f t="shared" si="11"/>
        <v>1</v>
      </c>
    </row>
    <row r="384" spans="1:9" x14ac:dyDescent="0.2">
      <c r="A384" t="s">
        <v>1171</v>
      </c>
      <c r="B384">
        <v>2</v>
      </c>
      <c r="C384" t="s">
        <v>80</v>
      </c>
      <c r="D384" t="s">
        <v>1172</v>
      </c>
      <c r="E384" t="s">
        <v>1173</v>
      </c>
      <c r="F384" t="s">
        <v>108</v>
      </c>
      <c r="G384">
        <v>1</v>
      </c>
      <c r="H384">
        <f t="shared" si="10"/>
        <v>2</v>
      </c>
      <c r="I384" s="6">
        <f t="shared" si="11"/>
        <v>1</v>
      </c>
    </row>
    <row r="385" spans="1:9" x14ac:dyDescent="0.2">
      <c r="A385" t="s">
        <v>1174</v>
      </c>
      <c r="B385">
        <v>6</v>
      </c>
      <c r="C385" t="s">
        <v>80</v>
      </c>
      <c r="D385" t="s">
        <v>1175</v>
      </c>
      <c r="E385" t="s">
        <v>1176</v>
      </c>
      <c r="F385" t="s">
        <v>62</v>
      </c>
      <c r="G385">
        <v>1</v>
      </c>
      <c r="H385">
        <f t="shared" si="10"/>
        <v>6</v>
      </c>
      <c r="I385" s="6">
        <f t="shared" si="11"/>
        <v>0.5</v>
      </c>
    </row>
    <row r="386" spans="1:9" x14ac:dyDescent="0.2">
      <c r="A386" t="s">
        <v>1177</v>
      </c>
      <c r="B386">
        <v>3</v>
      </c>
      <c r="C386" t="s">
        <v>22</v>
      </c>
      <c r="D386" t="s">
        <v>1178</v>
      </c>
      <c r="E386" t="s">
        <v>1179</v>
      </c>
      <c r="F386" t="s">
        <v>42</v>
      </c>
      <c r="G386">
        <v>1</v>
      </c>
      <c r="H386">
        <f t="shared" ref="H386:H449" si="12">COUNTIF($F$2:$F$100, F386)</f>
        <v>4</v>
      </c>
      <c r="I386" s="6">
        <f t="shared" ref="I386:I449" si="13">SUMIFS($G$2:$G$100, $F$2:$F$100, F386) / COUNTIF($F$2:$F$100, F386)</f>
        <v>1</v>
      </c>
    </row>
    <row r="387" spans="1:9" x14ac:dyDescent="0.2">
      <c r="A387" t="s">
        <v>1180</v>
      </c>
      <c r="B387">
        <v>4</v>
      </c>
      <c r="C387" t="s">
        <v>13</v>
      </c>
      <c r="D387" t="s">
        <v>1043</v>
      </c>
      <c r="E387" t="s">
        <v>1181</v>
      </c>
      <c r="F387" t="s">
        <v>108</v>
      </c>
      <c r="G387">
        <v>1</v>
      </c>
      <c r="H387">
        <f t="shared" si="12"/>
        <v>2</v>
      </c>
      <c r="I387" s="6">
        <f t="shared" si="13"/>
        <v>1</v>
      </c>
    </row>
    <row r="388" spans="1:9" x14ac:dyDescent="0.2">
      <c r="A388" t="s">
        <v>1182</v>
      </c>
      <c r="B388">
        <v>3</v>
      </c>
      <c r="C388" t="s">
        <v>8</v>
      </c>
      <c r="D388" t="s">
        <v>1183</v>
      </c>
      <c r="E388" t="s">
        <v>1184</v>
      </c>
      <c r="F388" t="s">
        <v>194</v>
      </c>
      <c r="G388">
        <v>0</v>
      </c>
      <c r="H388">
        <f t="shared" si="12"/>
        <v>3</v>
      </c>
      <c r="I388" s="6">
        <f t="shared" si="13"/>
        <v>1</v>
      </c>
    </row>
    <row r="389" spans="1:9" x14ac:dyDescent="0.2">
      <c r="A389" t="s">
        <v>1185</v>
      </c>
      <c r="B389">
        <v>4</v>
      </c>
      <c r="C389" t="s">
        <v>8</v>
      </c>
      <c r="D389" t="s">
        <v>1186</v>
      </c>
      <c r="E389" t="s">
        <v>1187</v>
      </c>
      <c r="F389" t="s">
        <v>25</v>
      </c>
      <c r="G389">
        <v>1</v>
      </c>
      <c r="H389">
        <f t="shared" si="12"/>
        <v>7</v>
      </c>
      <c r="I389" s="6">
        <f t="shared" si="13"/>
        <v>0.7142857142857143</v>
      </c>
    </row>
    <row r="390" spans="1:9" x14ac:dyDescent="0.2">
      <c r="A390" t="s">
        <v>1188</v>
      </c>
      <c r="B390">
        <v>2</v>
      </c>
      <c r="C390" t="s">
        <v>39</v>
      </c>
      <c r="D390" t="s">
        <v>1189</v>
      </c>
      <c r="E390" t="s">
        <v>1190</v>
      </c>
      <c r="F390" t="s">
        <v>50</v>
      </c>
      <c r="G390">
        <v>1</v>
      </c>
      <c r="H390">
        <f t="shared" si="12"/>
        <v>2</v>
      </c>
      <c r="I390" s="6">
        <f t="shared" si="13"/>
        <v>0.5</v>
      </c>
    </row>
    <row r="391" spans="1:9" x14ac:dyDescent="0.2">
      <c r="A391" t="s">
        <v>1191</v>
      </c>
      <c r="B391">
        <v>8</v>
      </c>
      <c r="C391" t="s">
        <v>13</v>
      </c>
      <c r="D391" t="s">
        <v>1192</v>
      </c>
      <c r="E391" t="s">
        <v>1193</v>
      </c>
      <c r="F391" t="s">
        <v>194</v>
      </c>
      <c r="G391">
        <v>0</v>
      </c>
      <c r="H391">
        <f t="shared" si="12"/>
        <v>3</v>
      </c>
      <c r="I391" s="6">
        <f t="shared" si="13"/>
        <v>1</v>
      </c>
    </row>
    <row r="392" spans="1:9" x14ac:dyDescent="0.2">
      <c r="A392" t="s">
        <v>1194</v>
      </c>
      <c r="B392">
        <v>4</v>
      </c>
      <c r="C392" t="s">
        <v>39</v>
      </c>
      <c r="D392" t="s">
        <v>1195</v>
      </c>
      <c r="E392" t="s">
        <v>1196</v>
      </c>
      <c r="F392" t="s">
        <v>42</v>
      </c>
      <c r="G392">
        <v>1</v>
      </c>
      <c r="H392">
        <f t="shared" si="12"/>
        <v>4</v>
      </c>
      <c r="I392" s="6">
        <f t="shared" si="13"/>
        <v>1</v>
      </c>
    </row>
    <row r="393" spans="1:9" x14ac:dyDescent="0.2">
      <c r="A393" t="s">
        <v>1197</v>
      </c>
      <c r="B393">
        <v>7</v>
      </c>
      <c r="C393" t="s">
        <v>80</v>
      </c>
      <c r="D393" t="s">
        <v>1198</v>
      </c>
      <c r="E393" t="s">
        <v>1199</v>
      </c>
      <c r="F393" t="s">
        <v>46</v>
      </c>
      <c r="G393">
        <v>0</v>
      </c>
      <c r="H393">
        <f t="shared" si="12"/>
        <v>3</v>
      </c>
      <c r="I393" s="6">
        <f t="shared" si="13"/>
        <v>0.66666666666666663</v>
      </c>
    </row>
    <row r="394" spans="1:9" x14ac:dyDescent="0.2">
      <c r="A394" t="s">
        <v>1200</v>
      </c>
      <c r="B394">
        <v>3</v>
      </c>
      <c r="C394" t="s">
        <v>13</v>
      </c>
      <c r="D394" t="s">
        <v>1201</v>
      </c>
      <c r="E394" t="s">
        <v>1202</v>
      </c>
      <c r="F394" t="s">
        <v>62</v>
      </c>
      <c r="G394">
        <v>0</v>
      </c>
      <c r="H394">
        <f t="shared" si="12"/>
        <v>6</v>
      </c>
      <c r="I394" s="6">
        <f t="shared" si="13"/>
        <v>0.5</v>
      </c>
    </row>
    <row r="395" spans="1:9" x14ac:dyDescent="0.2">
      <c r="A395" t="s">
        <v>1203</v>
      </c>
      <c r="B395">
        <v>0</v>
      </c>
      <c r="C395" t="s">
        <v>8</v>
      </c>
      <c r="D395" t="s">
        <v>1204</v>
      </c>
      <c r="E395" t="s">
        <v>1205</v>
      </c>
      <c r="F395" t="s">
        <v>221</v>
      </c>
      <c r="G395">
        <v>1</v>
      </c>
      <c r="H395">
        <f t="shared" si="12"/>
        <v>3</v>
      </c>
      <c r="I395" s="6">
        <f t="shared" si="13"/>
        <v>0.66666666666666663</v>
      </c>
    </row>
    <row r="396" spans="1:9" x14ac:dyDescent="0.2">
      <c r="A396" t="s">
        <v>1206</v>
      </c>
      <c r="B396">
        <v>6</v>
      </c>
      <c r="C396" t="s">
        <v>13</v>
      </c>
      <c r="D396" t="s">
        <v>1207</v>
      </c>
      <c r="E396" t="s">
        <v>1208</v>
      </c>
      <c r="F396" t="s">
        <v>211</v>
      </c>
      <c r="G396">
        <v>0</v>
      </c>
      <c r="H396">
        <f t="shared" si="12"/>
        <v>3</v>
      </c>
      <c r="I396" s="6">
        <f t="shared" si="13"/>
        <v>0.33333333333333331</v>
      </c>
    </row>
    <row r="397" spans="1:9" x14ac:dyDescent="0.2">
      <c r="A397" t="s">
        <v>1209</v>
      </c>
      <c r="B397">
        <v>10</v>
      </c>
      <c r="C397" t="s">
        <v>13</v>
      </c>
      <c r="D397" t="s">
        <v>1210</v>
      </c>
      <c r="E397" t="s">
        <v>1211</v>
      </c>
      <c r="F397" t="s">
        <v>58</v>
      </c>
      <c r="G397">
        <v>1</v>
      </c>
      <c r="H397">
        <f t="shared" si="12"/>
        <v>2</v>
      </c>
      <c r="I397" s="6">
        <f t="shared" si="13"/>
        <v>1</v>
      </c>
    </row>
    <row r="398" spans="1:9" x14ac:dyDescent="0.2">
      <c r="A398" t="s">
        <v>1212</v>
      </c>
      <c r="B398">
        <v>1</v>
      </c>
      <c r="C398" t="s">
        <v>13</v>
      </c>
      <c r="D398" t="s">
        <v>1213</v>
      </c>
      <c r="E398" t="s">
        <v>1214</v>
      </c>
      <c r="F398" t="s">
        <v>142</v>
      </c>
      <c r="G398">
        <v>0</v>
      </c>
      <c r="H398">
        <f t="shared" si="12"/>
        <v>5</v>
      </c>
      <c r="I398" s="6">
        <f t="shared" si="13"/>
        <v>0.4</v>
      </c>
    </row>
    <row r="399" spans="1:9" x14ac:dyDescent="0.2">
      <c r="A399" t="s">
        <v>1215</v>
      </c>
      <c r="B399">
        <v>6</v>
      </c>
      <c r="C399" t="s">
        <v>22</v>
      </c>
      <c r="D399" t="s">
        <v>1216</v>
      </c>
      <c r="E399" t="s">
        <v>1217</v>
      </c>
      <c r="F399" t="s">
        <v>42</v>
      </c>
      <c r="G399">
        <v>1</v>
      </c>
      <c r="H399">
        <f t="shared" si="12"/>
        <v>4</v>
      </c>
      <c r="I399" s="6">
        <f t="shared" si="13"/>
        <v>1</v>
      </c>
    </row>
    <row r="400" spans="1:9" x14ac:dyDescent="0.2">
      <c r="A400" t="s">
        <v>1218</v>
      </c>
      <c r="B400">
        <v>3</v>
      </c>
      <c r="C400" t="s">
        <v>39</v>
      </c>
      <c r="D400" t="s">
        <v>1219</v>
      </c>
      <c r="E400" t="s">
        <v>1220</v>
      </c>
      <c r="F400" t="s">
        <v>46</v>
      </c>
      <c r="G400">
        <v>0</v>
      </c>
      <c r="H400">
        <f t="shared" si="12"/>
        <v>3</v>
      </c>
      <c r="I400" s="6">
        <f t="shared" si="13"/>
        <v>0.66666666666666663</v>
      </c>
    </row>
    <row r="401" spans="1:9" x14ac:dyDescent="0.2">
      <c r="A401" t="s">
        <v>1221</v>
      </c>
      <c r="B401">
        <v>11</v>
      </c>
      <c r="C401" t="s">
        <v>22</v>
      </c>
      <c r="D401" t="s">
        <v>1222</v>
      </c>
      <c r="E401" t="s">
        <v>1223</v>
      </c>
      <c r="F401" t="s">
        <v>33</v>
      </c>
      <c r="G401">
        <v>1</v>
      </c>
      <c r="H401">
        <f t="shared" si="12"/>
        <v>4</v>
      </c>
      <c r="I401" s="6">
        <f t="shared" si="13"/>
        <v>0.5</v>
      </c>
    </row>
    <row r="402" spans="1:9" x14ac:dyDescent="0.2">
      <c r="A402" t="s">
        <v>1224</v>
      </c>
      <c r="B402">
        <v>2</v>
      </c>
      <c r="C402" t="s">
        <v>39</v>
      </c>
      <c r="D402" t="s">
        <v>1225</v>
      </c>
      <c r="E402" t="s">
        <v>1226</v>
      </c>
      <c r="F402" t="s">
        <v>29</v>
      </c>
      <c r="G402">
        <v>1</v>
      </c>
      <c r="H402">
        <f t="shared" si="12"/>
        <v>8</v>
      </c>
      <c r="I402" s="6">
        <f t="shared" si="13"/>
        <v>0.875</v>
      </c>
    </row>
    <row r="403" spans="1:9" x14ac:dyDescent="0.2">
      <c r="A403" t="s">
        <v>1227</v>
      </c>
      <c r="B403">
        <v>3</v>
      </c>
      <c r="C403" t="s">
        <v>22</v>
      </c>
      <c r="D403" t="s">
        <v>1228</v>
      </c>
      <c r="E403" t="s">
        <v>1229</v>
      </c>
      <c r="F403" t="s">
        <v>42</v>
      </c>
      <c r="G403">
        <v>0</v>
      </c>
      <c r="H403">
        <f t="shared" si="12"/>
        <v>4</v>
      </c>
      <c r="I403" s="6">
        <f t="shared" si="13"/>
        <v>1</v>
      </c>
    </row>
    <row r="404" spans="1:9" x14ac:dyDescent="0.2">
      <c r="A404" t="s">
        <v>1230</v>
      </c>
      <c r="B404">
        <v>4</v>
      </c>
      <c r="C404" t="s">
        <v>39</v>
      </c>
      <c r="D404" t="s">
        <v>1231</v>
      </c>
      <c r="E404" t="s">
        <v>1232</v>
      </c>
      <c r="F404" t="s">
        <v>42</v>
      </c>
      <c r="G404">
        <v>1</v>
      </c>
      <c r="H404">
        <f t="shared" si="12"/>
        <v>4</v>
      </c>
      <c r="I404" s="6">
        <f t="shared" si="13"/>
        <v>1</v>
      </c>
    </row>
    <row r="405" spans="1:9" x14ac:dyDescent="0.2">
      <c r="A405" t="s">
        <v>1233</v>
      </c>
      <c r="B405">
        <v>8</v>
      </c>
      <c r="C405" t="s">
        <v>8</v>
      </c>
      <c r="D405" t="s">
        <v>1234</v>
      </c>
      <c r="E405" t="s">
        <v>1235</v>
      </c>
      <c r="F405" t="s">
        <v>46</v>
      </c>
      <c r="G405">
        <v>1</v>
      </c>
      <c r="H405">
        <f t="shared" si="12"/>
        <v>3</v>
      </c>
      <c r="I405" s="6">
        <f t="shared" si="13"/>
        <v>0.66666666666666663</v>
      </c>
    </row>
    <row r="406" spans="1:9" x14ac:dyDescent="0.2">
      <c r="A406" t="s">
        <v>1236</v>
      </c>
      <c r="B406">
        <v>5</v>
      </c>
      <c r="C406" t="s">
        <v>22</v>
      </c>
      <c r="D406" t="s">
        <v>1237</v>
      </c>
      <c r="E406" t="s">
        <v>1238</v>
      </c>
      <c r="F406" t="s">
        <v>72</v>
      </c>
      <c r="G406">
        <v>0</v>
      </c>
      <c r="H406">
        <f t="shared" si="12"/>
        <v>4</v>
      </c>
      <c r="I406" s="6">
        <f t="shared" si="13"/>
        <v>0.5</v>
      </c>
    </row>
    <row r="407" spans="1:9" x14ac:dyDescent="0.2">
      <c r="A407" t="s">
        <v>1239</v>
      </c>
      <c r="B407">
        <v>1</v>
      </c>
      <c r="C407" t="s">
        <v>13</v>
      </c>
      <c r="D407" t="s">
        <v>1240</v>
      </c>
      <c r="E407" t="s">
        <v>1241</v>
      </c>
      <c r="F407" t="s">
        <v>211</v>
      </c>
      <c r="G407">
        <v>1</v>
      </c>
      <c r="H407">
        <f t="shared" si="12"/>
        <v>3</v>
      </c>
      <c r="I407" s="6">
        <f t="shared" si="13"/>
        <v>0.33333333333333331</v>
      </c>
    </row>
    <row r="408" spans="1:9" x14ac:dyDescent="0.2">
      <c r="A408" t="s">
        <v>1242</v>
      </c>
      <c r="B408">
        <v>8</v>
      </c>
      <c r="C408" t="s">
        <v>22</v>
      </c>
      <c r="D408" t="s">
        <v>1243</v>
      </c>
      <c r="E408" t="s">
        <v>1244</v>
      </c>
      <c r="F408" t="s">
        <v>72</v>
      </c>
      <c r="G408">
        <v>1</v>
      </c>
      <c r="H408">
        <f t="shared" si="12"/>
        <v>4</v>
      </c>
      <c r="I408" s="6">
        <f t="shared" si="13"/>
        <v>0.5</v>
      </c>
    </row>
    <row r="409" spans="1:9" x14ac:dyDescent="0.2">
      <c r="A409" t="s">
        <v>1245</v>
      </c>
      <c r="B409">
        <v>0</v>
      </c>
      <c r="C409" t="s">
        <v>80</v>
      </c>
      <c r="D409" t="s">
        <v>1246</v>
      </c>
      <c r="E409" t="s">
        <v>1247</v>
      </c>
      <c r="F409" t="s">
        <v>221</v>
      </c>
      <c r="G409">
        <v>1</v>
      </c>
      <c r="H409">
        <f t="shared" si="12"/>
        <v>3</v>
      </c>
      <c r="I409" s="6">
        <f t="shared" si="13"/>
        <v>0.66666666666666663</v>
      </c>
    </row>
    <row r="410" spans="1:9" x14ac:dyDescent="0.2">
      <c r="A410" t="s">
        <v>1248</v>
      </c>
      <c r="B410">
        <v>2</v>
      </c>
      <c r="C410" t="s">
        <v>80</v>
      </c>
      <c r="D410" t="s">
        <v>1249</v>
      </c>
      <c r="E410" t="s">
        <v>1250</v>
      </c>
      <c r="F410" t="s">
        <v>58</v>
      </c>
      <c r="G410">
        <v>1</v>
      </c>
      <c r="H410">
        <f t="shared" si="12"/>
        <v>2</v>
      </c>
      <c r="I410" s="6">
        <f t="shared" si="13"/>
        <v>1</v>
      </c>
    </row>
    <row r="411" spans="1:9" x14ac:dyDescent="0.2">
      <c r="A411" t="s">
        <v>1251</v>
      </c>
      <c r="B411">
        <v>5</v>
      </c>
      <c r="C411" t="s">
        <v>80</v>
      </c>
      <c r="D411" t="s">
        <v>1252</v>
      </c>
      <c r="E411" t="s">
        <v>1253</v>
      </c>
      <c r="F411" t="s">
        <v>42</v>
      </c>
      <c r="G411">
        <v>1</v>
      </c>
      <c r="H411">
        <f t="shared" si="12"/>
        <v>4</v>
      </c>
      <c r="I411" s="6">
        <f t="shared" si="13"/>
        <v>1</v>
      </c>
    </row>
    <row r="412" spans="1:9" x14ac:dyDescent="0.2">
      <c r="A412" t="s">
        <v>1254</v>
      </c>
      <c r="B412">
        <v>6</v>
      </c>
      <c r="C412" t="s">
        <v>39</v>
      </c>
      <c r="D412" t="s">
        <v>1255</v>
      </c>
      <c r="E412" t="s">
        <v>1256</v>
      </c>
      <c r="F412" t="s">
        <v>211</v>
      </c>
      <c r="G412">
        <v>0</v>
      </c>
      <c r="H412">
        <f t="shared" si="12"/>
        <v>3</v>
      </c>
      <c r="I412" s="6">
        <f t="shared" si="13"/>
        <v>0.33333333333333331</v>
      </c>
    </row>
    <row r="413" spans="1:9" x14ac:dyDescent="0.2">
      <c r="A413" t="s">
        <v>1257</v>
      </c>
      <c r="B413">
        <v>6</v>
      </c>
      <c r="C413" t="s">
        <v>8</v>
      </c>
      <c r="D413" t="s">
        <v>1258</v>
      </c>
      <c r="E413" t="s">
        <v>1259</v>
      </c>
      <c r="F413" t="s">
        <v>37</v>
      </c>
      <c r="G413">
        <v>0</v>
      </c>
      <c r="H413">
        <f t="shared" si="12"/>
        <v>8</v>
      </c>
      <c r="I413" s="6">
        <f t="shared" si="13"/>
        <v>0.625</v>
      </c>
    </row>
    <row r="414" spans="1:9" x14ac:dyDescent="0.2">
      <c r="A414" t="s">
        <v>1260</v>
      </c>
      <c r="B414">
        <v>8</v>
      </c>
      <c r="C414" t="s">
        <v>22</v>
      </c>
      <c r="D414" t="s">
        <v>1261</v>
      </c>
      <c r="E414" t="s">
        <v>1262</v>
      </c>
      <c r="F414" t="s">
        <v>221</v>
      </c>
      <c r="G414">
        <v>1</v>
      </c>
      <c r="H414">
        <f t="shared" si="12"/>
        <v>3</v>
      </c>
      <c r="I414" s="6">
        <f t="shared" si="13"/>
        <v>0.66666666666666663</v>
      </c>
    </row>
    <row r="415" spans="1:9" x14ac:dyDescent="0.2">
      <c r="A415" t="s">
        <v>1263</v>
      </c>
      <c r="B415">
        <v>8</v>
      </c>
      <c r="C415" t="s">
        <v>8</v>
      </c>
      <c r="D415" t="s">
        <v>1264</v>
      </c>
      <c r="E415" t="s">
        <v>1265</v>
      </c>
      <c r="F415" t="s">
        <v>37</v>
      </c>
      <c r="G415">
        <v>1</v>
      </c>
      <c r="H415">
        <f t="shared" si="12"/>
        <v>8</v>
      </c>
      <c r="I415" s="6">
        <f t="shared" si="13"/>
        <v>0.625</v>
      </c>
    </row>
    <row r="416" spans="1:9" x14ac:dyDescent="0.2">
      <c r="A416" t="s">
        <v>1266</v>
      </c>
      <c r="B416">
        <v>8</v>
      </c>
      <c r="C416" t="s">
        <v>80</v>
      </c>
      <c r="D416" t="s">
        <v>1267</v>
      </c>
      <c r="E416" t="s">
        <v>1268</v>
      </c>
      <c r="F416" t="s">
        <v>33</v>
      </c>
      <c r="G416">
        <v>1</v>
      </c>
      <c r="H416">
        <f t="shared" si="12"/>
        <v>4</v>
      </c>
      <c r="I416" s="6">
        <f t="shared" si="13"/>
        <v>0.5</v>
      </c>
    </row>
    <row r="417" spans="1:9" x14ac:dyDescent="0.2">
      <c r="A417" t="s">
        <v>1269</v>
      </c>
      <c r="B417">
        <v>6</v>
      </c>
      <c r="C417" t="s">
        <v>39</v>
      </c>
      <c r="D417" t="s">
        <v>1270</v>
      </c>
      <c r="E417" t="s">
        <v>1271</v>
      </c>
      <c r="F417" t="s">
        <v>16</v>
      </c>
      <c r="G417">
        <v>1</v>
      </c>
      <c r="H417">
        <f t="shared" si="12"/>
        <v>5</v>
      </c>
      <c r="I417" s="6">
        <f t="shared" si="13"/>
        <v>0.6</v>
      </c>
    </row>
    <row r="418" spans="1:9" x14ac:dyDescent="0.2">
      <c r="A418" t="s">
        <v>1272</v>
      </c>
      <c r="B418">
        <v>12</v>
      </c>
      <c r="C418" t="s">
        <v>80</v>
      </c>
      <c r="D418" t="s">
        <v>1273</v>
      </c>
      <c r="E418" t="s">
        <v>1274</v>
      </c>
      <c r="F418" t="s">
        <v>42</v>
      </c>
      <c r="G418">
        <v>1</v>
      </c>
      <c r="H418">
        <f t="shared" si="12"/>
        <v>4</v>
      </c>
      <c r="I418" s="6">
        <f t="shared" si="13"/>
        <v>1</v>
      </c>
    </row>
    <row r="419" spans="1:9" x14ac:dyDescent="0.2">
      <c r="A419" t="s">
        <v>1275</v>
      </c>
      <c r="B419">
        <v>1</v>
      </c>
      <c r="C419" t="s">
        <v>80</v>
      </c>
      <c r="D419" t="s">
        <v>1276</v>
      </c>
      <c r="E419" t="s">
        <v>1277</v>
      </c>
      <c r="F419" t="s">
        <v>46</v>
      </c>
      <c r="G419">
        <v>1</v>
      </c>
      <c r="H419">
        <f t="shared" si="12"/>
        <v>3</v>
      </c>
      <c r="I419" s="6">
        <f t="shared" si="13"/>
        <v>0.66666666666666663</v>
      </c>
    </row>
    <row r="420" spans="1:9" x14ac:dyDescent="0.2">
      <c r="A420" t="s">
        <v>1278</v>
      </c>
      <c r="B420">
        <v>4</v>
      </c>
      <c r="C420" t="s">
        <v>13</v>
      </c>
      <c r="D420" t="s">
        <v>1279</v>
      </c>
      <c r="E420" t="s">
        <v>1280</v>
      </c>
      <c r="F420" t="s">
        <v>142</v>
      </c>
      <c r="G420">
        <v>0</v>
      </c>
      <c r="H420">
        <f t="shared" si="12"/>
        <v>5</v>
      </c>
      <c r="I420" s="6">
        <f t="shared" si="13"/>
        <v>0.4</v>
      </c>
    </row>
    <row r="421" spans="1:9" x14ac:dyDescent="0.2">
      <c r="A421" t="s">
        <v>1281</v>
      </c>
      <c r="B421">
        <v>1</v>
      </c>
      <c r="C421" t="s">
        <v>22</v>
      </c>
      <c r="D421" t="s">
        <v>1282</v>
      </c>
      <c r="E421" t="s">
        <v>1283</v>
      </c>
      <c r="F421" t="s">
        <v>207</v>
      </c>
      <c r="G421">
        <v>1</v>
      </c>
      <c r="H421">
        <f t="shared" si="12"/>
        <v>3</v>
      </c>
      <c r="I421" s="6">
        <f t="shared" si="13"/>
        <v>1</v>
      </c>
    </row>
    <row r="422" spans="1:9" x14ac:dyDescent="0.2">
      <c r="A422" t="s">
        <v>1284</v>
      </c>
      <c r="B422">
        <v>4</v>
      </c>
      <c r="C422" t="s">
        <v>80</v>
      </c>
      <c r="D422" t="s">
        <v>1285</v>
      </c>
      <c r="E422" t="s">
        <v>1286</v>
      </c>
      <c r="F422" t="s">
        <v>29</v>
      </c>
      <c r="G422">
        <v>0</v>
      </c>
      <c r="H422">
        <f t="shared" si="12"/>
        <v>8</v>
      </c>
      <c r="I422" s="6">
        <f t="shared" si="13"/>
        <v>0.875</v>
      </c>
    </row>
    <row r="423" spans="1:9" x14ac:dyDescent="0.2">
      <c r="A423" t="s">
        <v>1287</v>
      </c>
      <c r="B423">
        <v>4</v>
      </c>
      <c r="C423" t="s">
        <v>22</v>
      </c>
      <c r="D423" t="s">
        <v>1288</v>
      </c>
      <c r="E423" t="s">
        <v>1289</v>
      </c>
      <c r="F423" t="s">
        <v>25</v>
      </c>
      <c r="G423">
        <v>0</v>
      </c>
      <c r="H423">
        <f t="shared" si="12"/>
        <v>7</v>
      </c>
      <c r="I423" s="6">
        <f t="shared" si="13"/>
        <v>0.7142857142857143</v>
      </c>
    </row>
    <row r="424" spans="1:9" x14ac:dyDescent="0.2">
      <c r="A424" t="s">
        <v>1290</v>
      </c>
      <c r="B424">
        <v>0</v>
      </c>
      <c r="C424" t="s">
        <v>8</v>
      </c>
      <c r="D424" t="s">
        <v>1291</v>
      </c>
      <c r="E424" t="s">
        <v>1292</v>
      </c>
      <c r="F424" t="s">
        <v>54</v>
      </c>
      <c r="G424">
        <v>1</v>
      </c>
      <c r="H424">
        <f t="shared" si="12"/>
        <v>11</v>
      </c>
      <c r="I424" s="6">
        <f t="shared" si="13"/>
        <v>0.63636363636363635</v>
      </c>
    </row>
    <row r="425" spans="1:9" x14ac:dyDescent="0.2">
      <c r="A425" t="s">
        <v>1293</v>
      </c>
      <c r="B425">
        <v>3</v>
      </c>
      <c r="C425" t="s">
        <v>39</v>
      </c>
      <c r="D425" t="s">
        <v>1294</v>
      </c>
      <c r="E425" t="s">
        <v>1295</v>
      </c>
      <c r="F425" t="s">
        <v>58</v>
      </c>
      <c r="G425">
        <v>1</v>
      </c>
      <c r="H425">
        <f t="shared" si="12"/>
        <v>2</v>
      </c>
      <c r="I425" s="6">
        <f t="shared" si="13"/>
        <v>1</v>
      </c>
    </row>
    <row r="426" spans="1:9" x14ac:dyDescent="0.2">
      <c r="A426" t="s">
        <v>1296</v>
      </c>
      <c r="B426">
        <v>0</v>
      </c>
      <c r="C426" t="s">
        <v>13</v>
      </c>
      <c r="D426" t="s">
        <v>1297</v>
      </c>
      <c r="E426" t="s">
        <v>981</v>
      </c>
      <c r="F426" t="s">
        <v>16</v>
      </c>
      <c r="G426">
        <v>1</v>
      </c>
      <c r="H426">
        <f t="shared" si="12"/>
        <v>5</v>
      </c>
      <c r="I426" s="6">
        <f t="shared" si="13"/>
        <v>0.6</v>
      </c>
    </row>
    <row r="427" spans="1:9" x14ac:dyDescent="0.2">
      <c r="A427" t="s">
        <v>1298</v>
      </c>
      <c r="B427">
        <v>2</v>
      </c>
      <c r="C427" t="s">
        <v>22</v>
      </c>
      <c r="D427" t="s">
        <v>1299</v>
      </c>
      <c r="E427" t="s">
        <v>1300</v>
      </c>
      <c r="F427" t="s">
        <v>221</v>
      </c>
      <c r="G427">
        <v>1</v>
      </c>
      <c r="H427">
        <f t="shared" si="12"/>
        <v>3</v>
      </c>
      <c r="I427" s="6">
        <f t="shared" si="13"/>
        <v>0.66666666666666663</v>
      </c>
    </row>
    <row r="428" spans="1:9" x14ac:dyDescent="0.2">
      <c r="A428" t="s">
        <v>1301</v>
      </c>
      <c r="B428">
        <v>0</v>
      </c>
      <c r="C428" t="s">
        <v>39</v>
      </c>
      <c r="D428" t="s">
        <v>1302</v>
      </c>
      <c r="E428" t="s">
        <v>1303</v>
      </c>
      <c r="F428" t="s">
        <v>16</v>
      </c>
      <c r="G428">
        <v>0</v>
      </c>
      <c r="H428">
        <f t="shared" si="12"/>
        <v>5</v>
      </c>
      <c r="I428" s="6">
        <f t="shared" si="13"/>
        <v>0.6</v>
      </c>
    </row>
    <row r="429" spans="1:9" x14ac:dyDescent="0.2">
      <c r="A429" t="s">
        <v>1304</v>
      </c>
      <c r="B429">
        <v>1</v>
      </c>
      <c r="C429" t="s">
        <v>39</v>
      </c>
      <c r="D429" t="s">
        <v>1305</v>
      </c>
      <c r="E429" t="s">
        <v>1306</v>
      </c>
      <c r="F429" t="s">
        <v>46</v>
      </c>
      <c r="G429">
        <v>0</v>
      </c>
      <c r="H429">
        <f t="shared" si="12"/>
        <v>3</v>
      </c>
      <c r="I429" s="6">
        <f t="shared" si="13"/>
        <v>0.66666666666666663</v>
      </c>
    </row>
    <row r="430" spans="1:9" x14ac:dyDescent="0.2">
      <c r="A430" t="s">
        <v>1307</v>
      </c>
      <c r="B430">
        <v>7</v>
      </c>
      <c r="C430" t="s">
        <v>8</v>
      </c>
      <c r="D430" t="s">
        <v>1308</v>
      </c>
      <c r="E430" t="s">
        <v>1309</v>
      </c>
      <c r="F430" t="s">
        <v>42</v>
      </c>
      <c r="G430">
        <v>1</v>
      </c>
      <c r="H430">
        <f t="shared" si="12"/>
        <v>4</v>
      </c>
      <c r="I430" s="6">
        <f t="shared" si="13"/>
        <v>1</v>
      </c>
    </row>
    <row r="431" spans="1:9" x14ac:dyDescent="0.2">
      <c r="A431" t="s">
        <v>1310</v>
      </c>
      <c r="B431">
        <v>4</v>
      </c>
      <c r="C431" t="s">
        <v>39</v>
      </c>
      <c r="D431" t="s">
        <v>1311</v>
      </c>
      <c r="E431" t="s">
        <v>1312</v>
      </c>
      <c r="F431" t="s">
        <v>211</v>
      </c>
      <c r="G431">
        <v>1</v>
      </c>
      <c r="H431">
        <f t="shared" si="12"/>
        <v>3</v>
      </c>
      <c r="I431" s="6">
        <f t="shared" si="13"/>
        <v>0.33333333333333331</v>
      </c>
    </row>
    <row r="432" spans="1:9" x14ac:dyDescent="0.2">
      <c r="A432" t="s">
        <v>1313</v>
      </c>
      <c r="B432">
        <v>7</v>
      </c>
      <c r="C432" t="s">
        <v>80</v>
      </c>
      <c r="D432" t="s">
        <v>1314</v>
      </c>
      <c r="E432" t="s">
        <v>1315</v>
      </c>
      <c r="F432" t="s">
        <v>207</v>
      </c>
      <c r="G432">
        <v>1</v>
      </c>
      <c r="H432">
        <f t="shared" si="12"/>
        <v>3</v>
      </c>
      <c r="I432" s="6">
        <f t="shared" si="13"/>
        <v>1</v>
      </c>
    </row>
    <row r="433" spans="1:9" x14ac:dyDescent="0.2">
      <c r="A433" t="s">
        <v>1316</v>
      </c>
      <c r="B433">
        <v>1</v>
      </c>
      <c r="C433" t="s">
        <v>8</v>
      </c>
      <c r="D433" t="s">
        <v>1317</v>
      </c>
      <c r="E433" t="s">
        <v>1318</v>
      </c>
      <c r="F433" t="s">
        <v>37</v>
      </c>
      <c r="G433">
        <v>0</v>
      </c>
      <c r="H433">
        <f t="shared" si="12"/>
        <v>8</v>
      </c>
      <c r="I433" s="6">
        <f t="shared" si="13"/>
        <v>0.625</v>
      </c>
    </row>
    <row r="434" spans="1:9" x14ac:dyDescent="0.2">
      <c r="A434" t="s">
        <v>1319</v>
      </c>
      <c r="B434">
        <v>5</v>
      </c>
      <c r="C434" t="s">
        <v>13</v>
      </c>
      <c r="D434" t="s">
        <v>1320</v>
      </c>
      <c r="E434" t="s">
        <v>1321</v>
      </c>
      <c r="F434" t="s">
        <v>108</v>
      </c>
      <c r="G434">
        <v>0</v>
      </c>
      <c r="H434">
        <f t="shared" si="12"/>
        <v>2</v>
      </c>
      <c r="I434" s="6">
        <f t="shared" si="13"/>
        <v>1</v>
      </c>
    </row>
    <row r="435" spans="1:9" x14ac:dyDescent="0.2">
      <c r="A435" t="s">
        <v>1322</v>
      </c>
      <c r="B435">
        <v>5</v>
      </c>
      <c r="C435" t="s">
        <v>80</v>
      </c>
      <c r="D435" t="s">
        <v>1323</v>
      </c>
      <c r="E435" t="s">
        <v>1324</v>
      </c>
      <c r="F435" t="s">
        <v>54</v>
      </c>
      <c r="G435">
        <v>1</v>
      </c>
      <c r="H435">
        <f t="shared" si="12"/>
        <v>11</v>
      </c>
      <c r="I435" s="6">
        <f t="shared" si="13"/>
        <v>0.63636363636363635</v>
      </c>
    </row>
    <row r="436" spans="1:9" x14ac:dyDescent="0.2">
      <c r="A436" t="s">
        <v>1325</v>
      </c>
      <c r="B436">
        <v>0</v>
      </c>
      <c r="C436" t="s">
        <v>8</v>
      </c>
      <c r="D436" t="s">
        <v>1326</v>
      </c>
      <c r="E436" t="s">
        <v>1327</v>
      </c>
      <c r="F436" t="s">
        <v>16</v>
      </c>
      <c r="G436">
        <v>0</v>
      </c>
      <c r="H436">
        <f t="shared" si="12"/>
        <v>5</v>
      </c>
      <c r="I436" s="6">
        <f t="shared" si="13"/>
        <v>0.6</v>
      </c>
    </row>
    <row r="437" spans="1:9" x14ac:dyDescent="0.2">
      <c r="A437" t="s">
        <v>1328</v>
      </c>
      <c r="B437">
        <v>3</v>
      </c>
      <c r="C437" t="s">
        <v>39</v>
      </c>
      <c r="D437" t="s">
        <v>1329</v>
      </c>
      <c r="E437" t="s">
        <v>1330</v>
      </c>
      <c r="F437" t="s">
        <v>221</v>
      </c>
      <c r="G437">
        <v>1</v>
      </c>
      <c r="H437">
        <f t="shared" si="12"/>
        <v>3</v>
      </c>
      <c r="I437" s="6">
        <f t="shared" si="13"/>
        <v>0.66666666666666663</v>
      </c>
    </row>
    <row r="438" spans="1:9" x14ac:dyDescent="0.2">
      <c r="A438" t="s">
        <v>1331</v>
      </c>
      <c r="B438">
        <v>1</v>
      </c>
      <c r="C438" t="s">
        <v>8</v>
      </c>
      <c r="D438" t="s">
        <v>1332</v>
      </c>
      <c r="E438" t="s">
        <v>1333</v>
      </c>
      <c r="F438" t="s">
        <v>207</v>
      </c>
      <c r="G438">
        <v>1</v>
      </c>
      <c r="H438">
        <f t="shared" si="12"/>
        <v>3</v>
      </c>
      <c r="I438" s="6">
        <f t="shared" si="13"/>
        <v>1</v>
      </c>
    </row>
    <row r="439" spans="1:9" x14ac:dyDescent="0.2">
      <c r="A439" t="s">
        <v>1334</v>
      </c>
      <c r="B439">
        <v>2</v>
      </c>
      <c r="C439" t="s">
        <v>13</v>
      </c>
      <c r="D439" t="s">
        <v>1335</v>
      </c>
      <c r="E439" t="s">
        <v>1336</v>
      </c>
      <c r="F439" t="s">
        <v>25</v>
      </c>
      <c r="G439">
        <v>0</v>
      </c>
      <c r="H439">
        <f t="shared" si="12"/>
        <v>7</v>
      </c>
      <c r="I439" s="6">
        <f t="shared" si="13"/>
        <v>0.7142857142857143</v>
      </c>
    </row>
    <row r="440" spans="1:9" x14ac:dyDescent="0.2">
      <c r="A440" t="s">
        <v>1337</v>
      </c>
      <c r="B440">
        <v>10</v>
      </c>
      <c r="C440" t="s">
        <v>80</v>
      </c>
      <c r="D440" t="s">
        <v>1338</v>
      </c>
      <c r="E440" t="s">
        <v>1339</v>
      </c>
      <c r="F440" t="s">
        <v>104</v>
      </c>
      <c r="G440">
        <v>1</v>
      </c>
      <c r="H440">
        <f t="shared" si="12"/>
        <v>4</v>
      </c>
      <c r="I440" s="6">
        <f t="shared" si="13"/>
        <v>0.25</v>
      </c>
    </row>
    <row r="441" spans="1:9" x14ac:dyDescent="0.2">
      <c r="A441" t="s">
        <v>1340</v>
      </c>
      <c r="B441">
        <v>7</v>
      </c>
      <c r="C441" t="s">
        <v>22</v>
      </c>
      <c r="D441" t="s">
        <v>1341</v>
      </c>
      <c r="E441" t="s">
        <v>1342</v>
      </c>
      <c r="F441" t="s">
        <v>29</v>
      </c>
      <c r="G441">
        <v>1</v>
      </c>
      <c r="H441">
        <f t="shared" si="12"/>
        <v>8</v>
      </c>
      <c r="I441" s="6">
        <f t="shared" si="13"/>
        <v>0.875</v>
      </c>
    </row>
    <row r="442" spans="1:9" x14ac:dyDescent="0.2">
      <c r="A442" t="s">
        <v>1343</v>
      </c>
      <c r="B442">
        <v>1</v>
      </c>
      <c r="C442" t="s">
        <v>39</v>
      </c>
      <c r="D442" t="s">
        <v>1344</v>
      </c>
      <c r="E442" t="s">
        <v>1345</v>
      </c>
      <c r="F442" t="s">
        <v>211</v>
      </c>
      <c r="G442">
        <v>1</v>
      </c>
      <c r="H442">
        <f t="shared" si="12"/>
        <v>3</v>
      </c>
      <c r="I442" s="6">
        <f t="shared" si="13"/>
        <v>0.33333333333333331</v>
      </c>
    </row>
    <row r="443" spans="1:9" x14ac:dyDescent="0.2">
      <c r="A443" t="s">
        <v>1346</v>
      </c>
      <c r="B443">
        <v>0</v>
      </c>
      <c r="C443" t="s">
        <v>80</v>
      </c>
      <c r="D443" t="s">
        <v>1347</v>
      </c>
      <c r="E443" t="s">
        <v>1348</v>
      </c>
      <c r="F443" t="s">
        <v>16</v>
      </c>
      <c r="G443">
        <v>1</v>
      </c>
      <c r="H443">
        <f t="shared" si="12"/>
        <v>5</v>
      </c>
      <c r="I443" s="6">
        <f t="shared" si="13"/>
        <v>0.6</v>
      </c>
    </row>
    <row r="444" spans="1:9" x14ac:dyDescent="0.2">
      <c r="A444" t="s">
        <v>1349</v>
      </c>
      <c r="B444">
        <v>1</v>
      </c>
      <c r="C444" t="s">
        <v>13</v>
      </c>
      <c r="D444" t="s">
        <v>1350</v>
      </c>
      <c r="E444" t="s">
        <v>1351</v>
      </c>
      <c r="F444" t="s">
        <v>54</v>
      </c>
      <c r="G444">
        <v>1</v>
      </c>
      <c r="H444">
        <f t="shared" si="12"/>
        <v>11</v>
      </c>
      <c r="I444" s="6">
        <f t="shared" si="13"/>
        <v>0.63636363636363635</v>
      </c>
    </row>
    <row r="445" spans="1:9" x14ac:dyDescent="0.2">
      <c r="A445" t="s">
        <v>1352</v>
      </c>
      <c r="B445">
        <v>6</v>
      </c>
      <c r="C445" t="s">
        <v>39</v>
      </c>
      <c r="D445" t="s">
        <v>1353</v>
      </c>
      <c r="E445" t="s">
        <v>1354</v>
      </c>
      <c r="F445" t="s">
        <v>33</v>
      </c>
      <c r="G445">
        <v>1</v>
      </c>
      <c r="H445">
        <f t="shared" si="12"/>
        <v>4</v>
      </c>
      <c r="I445" s="6">
        <f t="shared" si="13"/>
        <v>0.5</v>
      </c>
    </row>
    <row r="446" spans="1:9" x14ac:dyDescent="0.2">
      <c r="A446" t="s">
        <v>1355</v>
      </c>
      <c r="B446">
        <v>1</v>
      </c>
      <c r="C446" t="s">
        <v>8</v>
      </c>
      <c r="D446" t="s">
        <v>1356</v>
      </c>
      <c r="E446" t="s">
        <v>1357</v>
      </c>
      <c r="F446" t="s">
        <v>207</v>
      </c>
      <c r="G446">
        <v>0</v>
      </c>
      <c r="H446">
        <f t="shared" si="12"/>
        <v>3</v>
      </c>
      <c r="I446" s="6">
        <f t="shared" si="13"/>
        <v>1</v>
      </c>
    </row>
    <row r="447" spans="1:9" x14ac:dyDescent="0.2">
      <c r="A447" t="s">
        <v>1358</v>
      </c>
      <c r="B447">
        <v>0</v>
      </c>
      <c r="C447" t="s">
        <v>39</v>
      </c>
      <c r="D447" t="s">
        <v>1359</v>
      </c>
      <c r="E447" t="s">
        <v>1360</v>
      </c>
      <c r="F447" t="s">
        <v>50</v>
      </c>
      <c r="G447">
        <v>1</v>
      </c>
      <c r="H447">
        <f t="shared" si="12"/>
        <v>2</v>
      </c>
      <c r="I447" s="6">
        <f t="shared" si="13"/>
        <v>0.5</v>
      </c>
    </row>
    <row r="448" spans="1:9" x14ac:dyDescent="0.2">
      <c r="A448" t="s">
        <v>1361</v>
      </c>
      <c r="B448">
        <v>9</v>
      </c>
      <c r="C448" t="s">
        <v>39</v>
      </c>
      <c r="D448" t="s">
        <v>1362</v>
      </c>
      <c r="E448" t="s">
        <v>1363</v>
      </c>
      <c r="F448" t="s">
        <v>207</v>
      </c>
      <c r="G448">
        <v>1</v>
      </c>
      <c r="H448">
        <f t="shared" si="12"/>
        <v>3</v>
      </c>
      <c r="I448" s="6">
        <f t="shared" si="13"/>
        <v>1</v>
      </c>
    </row>
    <row r="449" spans="1:9" x14ac:dyDescent="0.2">
      <c r="A449" t="s">
        <v>1364</v>
      </c>
      <c r="B449">
        <v>7</v>
      </c>
      <c r="C449" t="s">
        <v>22</v>
      </c>
      <c r="D449" t="s">
        <v>1365</v>
      </c>
      <c r="E449" t="s">
        <v>1366</v>
      </c>
      <c r="F449" t="s">
        <v>25</v>
      </c>
      <c r="G449">
        <v>0</v>
      </c>
      <c r="H449">
        <f t="shared" si="12"/>
        <v>7</v>
      </c>
      <c r="I449" s="6">
        <f t="shared" si="13"/>
        <v>0.7142857142857143</v>
      </c>
    </row>
    <row r="450" spans="1:9" x14ac:dyDescent="0.2">
      <c r="A450" t="s">
        <v>1367</v>
      </c>
      <c r="B450">
        <v>7</v>
      </c>
      <c r="C450" t="s">
        <v>80</v>
      </c>
      <c r="D450" t="s">
        <v>1368</v>
      </c>
      <c r="E450" t="s">
        <v>1369</v>
      </c>
      <c r="F450" t="s">
        <v>108</v>
      </c>
      <c r="G450">
        <v>1</v>
      </c>
      <c r="H450">
        <f t="shared" ref="H450:H513" si="14">COUNTIF($F$2:$F$100, F450)</f>
        <v>2</v>
      </c>
      <c r="I450" s="6">
        <f t="shared" ref="I450:I513" si="15">SUMIFS($G$2:$G$100, $F$2:$F$100, F450) / COUNTIF($F$2:$F$100, F450)</f>
        <v>1</v>
      </c>
    </row>
    <row r="451" spans="1:9" x14ac:dyDescent="0.2">
      <c r="A451" t="s">
        <v>1370</v>
      </c>
      <c r="B451">
        <v>8</v>
      </c>
      <c r="C451" t="s">
        <v>39</v>
      </c>
      <c r="D451" t="s">
        <v>1371</v>
      </c>
      <c r="E451" t="s">
        <v>1372</v>
      </c>
      <c r="F451" t="s">
        <v>221</v>
      </c>
      <c r="G451">
        <v>0</v>
      </c>
      <c r="H451">
        <f t="shared" si="14"/>
        <v>3</v>
      </c>
      <c r="I451" s="6">
        <f t="shared" si="15"/>
        <v>0.66666666666666663</v>
      </c>
    </row>
    <row r="452" spans="1:9" x14ac:dyDescent="0.2">
      <c r="A452" t="s">
        <v>1373</v>
      </c>
      <c r="B452">
        <v>9</v>
      </c>
      <c r="C452" t="s">
        <v>8</v>
      </c>
      <c r="D452" t="s">
        <v>1374</v>
      </c>
      <c r="E452" t="s">
        <v>1375</v>
      </c>
      <c r="F452" t="s">
        <v>46</v>
      </c>
      <c r="G452">
        <v>1</v>
      </c>
      <c r="H452">
        <f t="shared" si="14"/>
        <v>3</v>
      </c>
      <c r="I452" s="6">
        <f t="shared" si="15"/>
        <v>0.66666666666666663</v>
      </c>
    </row>
    <row r="453" spans="1:9" x14ac:dyDescent="0.2">
      <c r="A453" t="s">
        <v>1376</v>
      </c>
      <c r="B453">
        <v>8</v>
      </c>
      <c r="C453" t="s">
        <v>22</v>
      </c>
      <c r="D453" t="s">
        <v>262</v>
      </c>
      <c r="E453" t="s">
        <v>1377</v>
      </c>
      <c r="F453" t="s">
        <v>207</v>
      </c>
      <c r="G453">
        <v>0</v>
      </c>
      <c r="H453">
        <f t="shared" si="14"/>
        <v>3</v>
      </c>
      <c r="I453" s="6">
        <f t="shared" si="15"/>
        <v>1</v>
      </c>
    </row>
    <row r="454" spans="1:9" x14ac:dyDescent="0.2">
      <c r="A454" t="s">
        <v>1378</v>
      </c>
      <c r="B454">
        <v>7</v>
      </c>
      <c r="C454" t="s">
        <v>39</v>
      </c>
      <c r="D454" t="s">
        <v>1379</v>
      </c>
      <c r="E454" t="s">
        <v>1380</v>
      </c>
      <c r="F454" t="s">
        <v>108</v>
      </c>
      <c r="G454">
        <v>1</v>
      </c>
      <c r="H454">
        <f t="shared" si="14"/>
        <v>2</v>
      </c>
      <c r="I454" s="6">
        <f t="shared" si="15"/>
        <v>1</v>
      </c>
    </row>
    <row r="455" spans="1:9" x14ac:dyDescent="0.2">
      <c r="A455" t="s">
        <v>1381</v>
      </c>
      <c r="B455">
        <v>1</v>
      </c>
      <c r="C455" t="s">
        <v>80</v>
      </c>
      <c r="D455" t="s">
        <v>1382</v>
      </c>
      <c r="E455" t="s">
        <v>1383</v>
      </c>
      <c r="F455" t="s">
        <v>29</v>
      </c>
      <c r="G455">
        <v>1</v>
      </c>
      <c r="H455">
        <f t="shared" si="14"/>
        <v>8</v>
      </c>
      <c r="I455" s="6">
        <f t="shared" si="15"/>
        <v>0.875</v>
      </c>
    </row>
    <row r="456" spans="1:9" x14ac:dyDescent="0.2">
      <c r="A456" t="s">
        <v>1384</v>
      </c>
      <c r="B456">
        <v>2</v>
      </c>
      <c r="C456" t="s">
        <v>13</v>
      </c>
      <c r="D456" t="s">
        <v>1385</v>
      </c>
      <c r="E456" t="s">
        <v>1386</v>
      </c>
      <c r="F456" t="s">
        <v>25</v>
      </c>
      <c r="G456">
        <v>1</v>
      </c>
      <c r="H456">
        <f t="shared" si="14"/>
        <v>7</v>
      </c>
      <c r="I456" s="6">
        <f t="shared" si="15"/>
        <v>0.7142857142857143</v>
      </c>
    </row>
    <row r="457" spans="1:9" x14ac:dyDescent="0.2">
      <c r="A457" t="s">
        <v>1387</v>
      </c>
      <c r="B457">
        <v>1</v>
      </c>
      <c r="C457" t="s">
        <v>22</v>
      </c>
      <c r="D457" t="s">
        <v>1388</v>
      </c>
      <c r="E457" t="s">
        <v>1389</v>
      </c>
      <c r="F457" t="s">
        <v>58</v>
      </c>
      <c r="G457">
        <v>0</v>
      </c>
      <c r="H457">
        <f t="shared" si="14"/>
        <v>2</v>
      </c>
      <c r="I457" s="6">
        <f t="shared" si="15"/>
        <v>1</v>
      </c>
    </row>
    <row r="458" spans="1:9" x14ac:dyDescent="0.2">
      <c r="A458" t="s">
        <v>1390</v>
      </c>
      <c r="B458">
        <v>1</v>
      </c>
      <c r="C458" t="s">
        <v>22</v>
      </c>
      <c r="D458" t="s">
        <v>1391</v>
      </c>
      <c r="E458" t="s">
        <v>1392</v>
      </c>
      <c r="F458" t="s">
        <v>211</v>
      </c>
      <c r="G458">
        <v>1</v>
      </c>
      <c r="H458">
        <f t="shared" si="14"/>
        <v>3</v>
      </c>
      <c r="I458" s="6">
        <f t="shared" si="15"/>
        <v>0.33333333333333331</v>
      </c>
    </row>
    <row r="459" spans="1:9" x14ac:dyDescent="0.2">
      <c r="A459" t="s">
        <v>1393</v>
      </c>
      <c r="B459">
        <v>12</v>
      </c>
      <c r="C459" t="s">
        <v>39</v>
      </c>
      <c r="D459" t="s">
        <v>1394</v>
      </c>
      <c r="E459" t="s">
        <v>1395</v>
      </c>
      <c r="F459" t="s">
        <v>104</v>
      </c>
      <c r="G459">
        <v>1</v>
      </c>
      <c r="H459">
        <f t="shared" si="14"/>
        <v>4</v>
      </c>
      <c r="I459" s="6">
        <f t="shared" si="15"/>
        <v>0.25</v>
      </c>
    </row>
    <row r="460" spans="1:9" x14ac:dyDescent="0.2">
      <c r="A460" t="s">
        <v>1396</v>
      </c>
      <c r="B460">
        <v>4</v>
      </c>
      <c r="C460" t="s">
        <v>22</v>
      </c>
      <c r="D460" t="s">
        <v>1397</v>
      </c>
      <c r="E460" t="s">
        <v>1181</v>
      </c>
      <c r="F460" t="s">
        <v>108</v>
      </c>
      <c r="G460">
        <v>1</v>
      </c>
      <c r="H460">
        <f t="shared" si="14"/>
        <v>2</v>
      </c>
      <c r="I460" s="6">
        <f t="shared" si="15"/>
        <v>1</v>
      </c>
    </row>
    <row r="461" spans="1:9" x14ac:dyDescent="0.2">
      <c r="A461" t="s">
        <v>1398</v>
      </c>
      <c r="B461">
        <v>2</v>
      </c>
      <c r="C461" t="s">
        <v>22</v>
      </c>
      <c r="D461" t="s">
        <v>1399</v>
      </c>
      <c r="E461" t="s">
        <v>618</v>
      </c>
      <c r="F461" t="s">
        <v>194</v>
      </c>
      <c r="G461">
        <v>1</v>
      </c>
      <c r="H461">
        <f t="shared" si="14"/>
        <v>3</v>
      </c>
      <c r="I461" s="6">
        <f t="shared" si="15"/>
        <v>1</v>
      </c>
    </row>
    <row r="462" spans="1:9" x14ac:dyDescent="0.2">
      <c r="A462" t="s">
        <v>1400</v>
      </c>
      <c r="B462">
        <v>0</v>
      </c>
      <c r="C462" t="s">
        <v>80</v>
      </c>
      <c r="D462" t="s">
        <v>1401</v>
      </c>
      <c r="E462" t="s">
        <v>1402</v>
      </c>
      <c r="F462" t="s">
        <v>142</v>
      </c>
      <c r="G462">
        <v>1</v>
      </c>
      <c r="H462">
        <f t="shared" si="14"/>
        <v>5</v>
      </c>
      <c r="I462" s="6">
        <f t="shared" si="15"/>
        <v>0.4</v>
      </c>
    </row>
    <row r="463" spans="1:9" x14ac:dyDescent="0.2">
      <c r="A463" t="s">
        <v>1403</v>
      </c>
      <c r="B463">
        <v>0</v>
      </c>
      <c r="C463" t="s">
        <v>39</v>
      </c>
      <c r="D463" t="s">
        <v>1404</v>
      </c>
      <c r="E463" t="s">
        <v>1405</v>
      </c>
      <c r="F463" t="s">
        <v>11</v>
      </c>
      <c r="G463">
        <v>1</v>
      </c>
      <c r="H463">
        <f t="shared" si="14"/>
        <v>4</v>
      </c>
      <c r="I463" s="6">
        <f t="shared" si="15"/>
        <v>0.5</v>
      </c>
    </row>
    <row r="464" spans="1:9" x14ac:dyDescent="0.2">
      <c r="A464" t="s">
        <v>1406</v>
      </c>
      <c r="B464">
        <v>6</v>
      </c>
      <c r="C464" t="s">
        <v>13</v>
      </c>
      <c r="D464" t="s">
        <v>1407</v>
      </c>
      <c r="E464" t="s">
        <v>1408</v>
      </c>
      <c r="F464" t="s">
        <v>104</v>
      </c>
      <c r="G464">
        <v>0</v>
      </c>
      <c r="H464">
        <f t="shared" si="14"/>
        <v>4</v>
      </c>
      <c r="I464" s="6">
        <f t="shared" si="15"/>
        <v>0.25</v>
      </c>
    </row>
    <row r="465" spans="1:9" x14ac:dyDescent="0.2">
      <c r="A465" t="s">
        <v>1409</v>
      </c>
      <c r="B465">
        <v>10</v>
      </c>
      <c r="C465" t="s">
        <v>22</v>
      </c>
      <c r="D465" t="s">
        <v>1410</v>
      </c>
      <c r="E465" t="s">
        <v>1411</v>
      </c>
      <c r="F465" t="s">
        <v>11</v>
      </c>
      <c r="G465">
        <v>0</v>
      </c>
      <c r="H465">
        <f t="shared" si="14"/>
        <v>4</v>
      </c>
      <c r="I465" s="6">
        <f t="shared" si="15"/>
        <v>0.5</v>
      </c>
    </row>
    <row r="466" spans="1:9" x14ac:dyDescent="0.2">
      <c r="A466" t="s">
        <v>1412</v>
      </c>
      <c r="B466">
        <v>9</v>
      </c>
      <c r="C466" t="s">
        <v>8</v>
      </c>
      <c r="D466" t="s">
        <v>1413</v>
      </c>
      <c r="E466" t="s">
        <v>1414</v>
      </c>
      <c r="F466" t="s">
        <v>37</v>
      </c>
      <c r="G466">
        <v>1</v>
      </c>
      <c r="H466">
        <f t="shared" si="14"/>
        <v>8</v>
      </c>
      <c r="I466" s="6">
        <f t="shared" si="15"/>
        <v>0.625</v>
      </c>
    </row>
    <row r="467" spans="1:9" x14ac:dyDescent="0.2">
      <c r="A467" t="s">
        <v>1415</v>
      </c>
      <c r="B467">
        <v>6</v>
      </c>
      <c r="C467" t="s">
        <v>22</v>
      </c>
      <c r="D467" t="s">
        <v>1416</v>
      </c>
      <c r="E467" t="s">
        <v>1417</v>
      </c>
      <c r="F467" t="s">
        <v>54</v>
      </c>
      <c r="G467">
        <v>0</v>
      </c>
      <c r="H467">
        <f t="shared" si="14"/>
        <v>11</v>
      </c>
      <c r="I467" s="6">
        <f t="shared" si="15"/>
        <v>0.63636363636363635</v>
      </c>
    </row>
    <row r="468" spans="1:9" x14ac:dyDescent="0.2">
      <c r="A468" t="s">
        <v>1418</v>
      </c>
      <c r="B468">
        <v>1</v>
      </c>
      <c r="C468" t="s">
        <v>13</v>
      </c>
      <c r="D468" t="s">
        <v>1419</v>
      </c>
      <c r="E468" t="s">
        <v>1420</v>
      </c>
      <c r="F468" t="s">
        <v>25</v>
      </c>
      <c r="G468">
        <v>0</v>
      </c>
      <c r="H468">
        <f t="shared" si="14"/>
        <v>7</v>
      </c>
      <c r="I468" s="6">
        <f t="shared" si="15"/>
        <v>0.7142857142857143</v>
      </c>
    </row>
    <row r="469" spans="1:9" x14ac:dyDescent="0.2">
      <c r="A469" t="s">
        <v>1421</v>
      </c>
      <c r="B469">
        <v>10</v>
      </c>
      <c r="C469" t="s">
        <v>39</v>
      </c>
      <c r="D469" t="s">
        <v>1422</v>
      </c>
      <c r="E469" t="s">
        <v>1423</v>
      </c>
      <c r="F469" t="s">
        <v>46</v>
      </c>
      <c r="G469">
        <v>0</v>
      </c>
      <c r="H469">
        <f t="shared" si="14"/>
        <v>3</v>
      </c>
      <c r="I469" s="6">
        <f t="shared" si="15"/>
        <v>0.66666666666666663</v>
      </c>
    </row>
    <row r="470" spans="1:9" x14ac:dyDescent="0.2">
      <c r="A470" t="s">
        <v>1424</v>
      </c>
      <c r="B470">
        <v>11</v>
      </c>
      <c r="C470" t="s">
        <v>80</v>
      </c>
      <c r="D470" t="s">
        <v>1425</v>
      </c>
      <c r="E470" t="s">
        <v>1426</v>
      </c>
      <c r="F470" t="s">
        <v>42</v>
      </c>
      <c r="G470">
        <v>1</v>
      </c>
      <c r="H470">
        <f t="shared" si="14"/>
        <v>4</v>
      </c>
      <c r="I470" s="6">
        <f t="shared" si="15"/>
        <v>1</v>
      </c>
    </row>
    <row r="471" spans="1:9" x14ac:dyDescent="0.2">
      <c r="A471" t="s">
        <v>1427</v>
      </c>
      <c r="B471">
        <v>0</v>
      </c>
      <c r="C471" t="s">
        <v>22</v>
      </c>
      <c r="D471" t="s">
        <v>1428</v>
      </c>
      <c r="E471" t="s">
        <v>1429</v>
      </c>
      <c r="F471" t="s">
        <v>33</v>
      </c>
      <c r="G471">
        <v>0</v>
      </c>
      <c r="H471">
        <f t="shared" si="14"/>
        <v>4</v>
      </c>
      <c r="I471" s="6">
        <f t="shared" si="15"/>
        <v>0.5</v>
      </c>
    </row>
    <row r="472" spans="1:9" x14ac:dyDescent="0.2">
      <c r="A472" t="s">
        <v>1430</v>
      </c>
      <c r="B472">
        <v>9</v>
      </c>
      <c r="C472" t="s">
        <v>80</v>
      </c>
      <c r="D472" t="s">
        <v>1431</v>
      </c>
      <c r="E472" t="s">
        <v>1432</v>
      </c>
      <c r="F472" t="s">
        <v>29</v>
      </c>
      <c r="G472">
        <v>1</v>
      </c>
      <c r="H472">
        <f t="shared" si="14"/>
        <v>8</v>
      </c>
      <c r="I472" s="6">
        <f t="shared" si="15"/>
        <v>0.875</v>
      </c>
    </row>
    <row r="473" spans="1:9" x14ac:dyDescent="0.2">
      <c r="A473" t="s">
        <v>1433</v>
      </c>
      <c r="B473">
        <v>1</v>
      </c>
      <c r="C473" t="s">
        <v>22</v>
      </c>
      <c r="D473" t="s">
        <v>1434</v>
      </c>
      <c r="E473" t="s">
        <v>1435</v>
      </c>
      <c r="F473" t="s">
        <v>50</v>
      </c>
      <c r="G473">
        <v>0</v>
      </c>
      <c r="H473">
        <f t="shared" si="14"/>
        <v>2</v>
      </c>
      <c r="I473" s="6">
        <f t="shared" si="15"/>
        <v>0.5</v>
      </c>
    </row>
    <row r="474" spans="1:9" x14ac:dyDescent="0.2">
      <c r="A474" t="s">
        <v>1436</v>
      </c>
      <c r="B474">
        <v>6</v>
      </c>
      <c r="C474" t="s">
        <v>80</v>
      </c>
      <c r="D474" t="s">
        <v>1437</v>
      </c>
      <c r="E474" t="s">
        <v>1438</v>
      </c>
      <c r="F474" t="s">
        <v>50</v>
      </c>
      <c r="G474">
        <v>0</v>
      </c>
      <c r="H474">
        <f t="shared" si="14"/>
        <v>2</v>
      </c>
      <c r="I474" s="6">
        <f t="shared" si="15"/>
        <v>0.5</v>
      </c>
    </row>
    <row r="475" spans="1:9" x14ac:dyDescent="0.2">
      <c r="A475" t="s">
        <v>1439</v>
      </c>
      <c r="B475">
        <v>0</v>
      </c>
      <c r="C475" t="s">
        <v>13</v>
      </c>
      <c r="D475" t="s">
        <v>1440</v>
      </c>
      <c r="E475" t="s">
        <v>61</v>
      </c>
      <c r="F475" t="s">
        <v>62</v>
      </c>
      <c r="G475">
        <v>1</v>
      </c>
      <c r="H475">
        <f t="shared" si="14"/>
        <v>6</v>
      </c>
      <c r="I475" s="6">
        <f t="shared" si="15"/>
        <v>0.5</v>
      </c>
    </row>
    <row r="476" spans="1:9" x14ac:dyDescent="0.2">
      <c r="A476" t="s">
        <v>1441</v>
      </c>
      <c r="B476">
        <v>2</v>
      </c>
      <c r="C476" t="s">
        <v>8</v>
      </c>
      <c r="D476" t="s">
        <v>1442</v>
      </c>
      <c r="E476" t="s">
        <v>1443</v>
      </c>
      <c r="F476" t="s">
        <v>194</v>
      </c>
      <c r="G476">
        <v>0</v>
      </c>
      <c r="H476">
        <f t="shared" si="14"/>
        <v>3</v>
      </c>
      <c r="I476" s="6">
        <f t="shared" si="15"/>
        <v>1</v>
      </c>
    </row>
    <row r="477" spans="1:9" x14ac:dyDescent="0.2">
      <c r="A477" t="s">
        <v>1444</v>
      </c>
      <c r="B477">
        <v>0</v>
      </c>
      <c r="C477" t="s">
        <v>80</v>
      </c>
      <c r="D477" t="s">
        <v>1445</v>
      </c>
      <c r="E477" t="s">
        <v>1446</v>
      </c>
      <c r="F477" t="s">
        <v>20</v>
      </c>
      <c r="G477">
        <v>0</v>
      </c>
      <c r="H477">
        <f t="shared" si="14"/>
        <v>8</v>
      </c>
      <c r="I477" s="6">
        <f t="shared" si="15"/>
        <v>0.5</v>
      </c>
    </row>
    <row r="478" spans="1:9" x14ac:dyDescent="0.2">
      <c r="A478" t="s">
        <v>1447</v>
      </c>
      <c r="B478">
        <v>1</v>
      </c>
      <c r="C478" t="s">
        <v>13</v>
      </c>
      <c r="D478" t="s">
        <v>1448</v>
      </c>
      <c r="E478" t="s">
        <v>1449</v>
      </c>
      <c r="F478" t="s">
        <v>54</v>
      </c>
      <c r="G478">
        <v>1</v>
      </c>
      <c r="H478">
        <f t="shared" si="14"/>
        <v>11</v>
      </c>
      <c r="I478" s="6">
        <f t="shared" si="15"/>
        <v>0.63636363636363635</v>
      </c>
    </row>
    <row r="479" spans="1:9" x14ac:dyDescent="0.2">
      <c r="A479" t="s">
        <v>1450</v>
      </c>
      <c r="B479">
        <v>5</v>
      </c>
      <c r="C479" t="s">
        <v>22</v>
      </c>
      <c r="D479" t="s">
        <v>1451</v>
      </c>
      <c r="E479" t="s">
        <v>1452</v>
      </c>
      <c r="F479" t="s">
        <v>72</v>
      </c>
      <c r="G479">
        <v>1</v>
      </c>
      <c r="H479">
        <f t="shared" si="14"/>
        <v>4</v>
      </c>
      <c r="I479" s="6">
        <f t="shared" si="15"/>
        <v>0.5</v>
      </c>
    </row>
    <row r="480" spans="1:9" x14ac:dyDescent="0.2">
      <c r="A480" t="s">
        <v>1453</v>
      </c>
      <c r="B480">
        <v>1</v>
      </c>
      <c r="C480" t="s">
        <v>22</v>
      </c>
      <c r="D480" t="s">
        <v>1454</v>
      </c>
      <c r="E480" t="s">
        <v>1455</v>
      </c>
      <c r="F480" t="s">
        <v>42</v>
      </c>
      <c r="G480">
        <v>0</v>
      </c>
      <c r="H480">
        <f t="shared" si="14"/>
        <v>4</v>
      </c>
      <c r="I480" s="6">
        <f t="shared" si="15"/>
        <v>1</v>
      </c>
    </row>
    <row r="481" spans="1:9" x14ac:dyDescent="0.2">
      <c r="A481" t="s">
        <v>1456</v>
      </c>
      <c r="B481">
        <v>1</v>
      </c>
      <c r="C481" t="s">
        <v>80</v>
      </c>
      <c r="D481" t="s">
        <v>1457</v>
      </c>
      <c r="E481" t="s">
        <v>1458</v>
      </c>
      <c r="F481" t="s">
        <v>46</v>
      </c>
      <c r="G481">
        <v>1</v>
      </c>
      <c r="H481">
        <f t="shared" si="14"/>
        <v>3</v>
      </c>
      <c r="I481" s="6">
        <f t="shared" si="15"/>
        <v>0.66666666666666663</v>
      </c>
    </row>
    <row r="482" spans="1:9" x14ac:dyDescent="0.2">
      <c r="A482" t="s">
        <v>1459</v>
      </c>
      <c r="B482">
        <v>1</v>
      </c>
      <c r="C482" t="s">
        <v>39</v>
      </c>
      <c r="D482" t="s">
        <v>1460</v>
      </c>
      <c r="E482" t="s">
        <v>1461</v>
      </c>
      <c r="F482" t="s">
        <v>221</v>
      </c>
      <c r="G482">
        <v>0</v>
      </c>
      <c r="H482">
        <f t="shared" si="14"/>
        <v>3</v>
      </c>
      <c r="I482" s="6">
        <f t="shared" si="15"/>
        <v>0.66666666666666663</v>
      </c>
    </row>
    <row r="483" spans="1:9" x14ac:dyDescent="0.2">
      <c r="A483" t="s">
        <v>1462</v>
      </c>
      <c r="B483">
        <v>1</v>
      </c>
      <c r="C483" t="s">
        <v>80</v>
      </c>
      <c r="D483" t="s">
        <v>1463</v>
      </c>
      <c r="E483" t="s">
        <v>1464</v>
      </c>
      <c r="F483" t="s">
        <v>42</v>
      </c>
      <c r="G483">
        <v>0</v>
      </c>
      <c r="H483">
        <f t="shared" si="14"/>
        <v>4</v>
      </c>
      <c r="I483" s="6">
        <f t="shared" si="15"/>
        <v>1</v>
      </c>
    </row>
    <row r="484" spans="1:9" x14ac:dyDescent="0.2">
      <c r="A484" t="s">
        <v>1465</v>
      </c>
      <c r="B484">
        <v>4</v>
      </c>
      <c r="C484" t="s">
        <v>22</v>
      </c>
      <c r="D484" t="s">
        <v>1466</v>
      </c>
      <c r="E484" t="s">
        <v>1467</v>
      </c>
      <c r="F484" t="s">
        <v>142</v>
      </c>
      <c r="G484">
        <v>0</v>
      </c>
      <c r="H484">
        <f t="shared" si="14"/>
        <v>5</v>
      </c>
      <c r="I484" s="6">
        <f t="shared" si="15"/>
        <v>0.4</v>
      </c>
    </row>
    <row r="485" spans="1:9" x14ac:dyDescent="0.2">
      <c r="A485" t="s">
        <v>1468</v>
      </c>
      <c r="B485">
        <v>8</v>
      </c>
      <c r="C485" t="s">
        <v>39</v>
      </c>
      <c r="D485" t="s">
        <v>1469</v>
      </c>
      <c r="E485" t="s">
        <v>1470</v>
      </c>
      <c r="F485" t="s">
        <v>72</v>
      </c>
      <c r="G485">
        <v>0</v>
      </c>
      <c r="H485">
        <f t="shared" si="14"/>
        <v>4</v>
      </c>
      <c r="I485" s="6">
        <f t="shared" si="15"/>
        <v>0.5</v>
      </c>
    </row>
    <row r="486" spans="1:9" x14ac:dyDescent="0.2">
      <c r="A486" t="s">
        <v>1471</v>
      </c>
      <c r="B486">
        <v>9</v>
      </c>
      <c r="C486" t="s">
        <v>80</v>
      </c>
      <c r="D486" t="s">
        <v>1472</v>
      </c>
      <c r="E486" t="s">
        <v>1473</v>
      </c>
      <c r="F486" t="s">
        <v>211</v>
      </c>
      <c r="G486">
        <v>1</v>
      </c>
      <c r="H486">
        <f t="shared" si="14"/>
        <v>3</v>
      </c>
      <c r="I486" s="6">
        <f t="shared" si="15"/>
        <v>0.33333333333333331</v>
      </c>
    </row>
    <row r="487" spans="1:9" x14ac:dyDescent="0.2">
      <c r="A487" t="s">
        <v>1474</v>
      </c>
      <c r="B487">
        <v>0</v>
      </c>
      <c r="C487" t="s">
        <v>80</v>
      </c>
      <c r="D487" t="s">
        <v>1475</v>
      </c>
      <c r="E487" t="s">
        <v>1476</v>
      </c>
      <c r="F487" t="s">
        <v>37</v>
      </c>
      <c r="G487">
        <v>1</v>
      </c>
      <c r="H487">
        <f t="shared" si="14"/>
        <v>8</v>
      </c>
      <c r="I487" s="6">
        <f t="shared" si="15"/>
        <v>0.625</v>
      </c>
    </row>
    <row r="488" spans="1:9" x14ac:dyDescent="0.2">
      <c r="A488" t="s">
        <v>1477</v>
      </c>
      <c r="B488">
        <v>2</v>
      </c>
      <c r="C488" t="s">
        <v>39</v>
      </c>
      <c r="D488" t="s">
        <v>1478</v>
      </c>
      <c r="E488" t="s">
        <v>737</v>
      </c>
      <c r="F488" t="s">
        <v>50</v>
      </c>
      <c r="G488">
        <v>0</v>
      </c>
      <c r="H488">
        <f t="shared" si="14"/>
        <v>2</v>
      </c>
      <c r="I488" s="6">
        <f t="shared" si="15"/>
        <v>0.5</v>
      </c>
    </row>
    <row r="489" spans="1:9" x14ac:dyDescent="0.2">
      <c r="A489" t="s">
        <v>1479</v>
      </c>
      <c r="B489">
        <v>5</v>
      </c>
      <c r="C489" t="s">
        <v>39</v>
      </c>
      <c r="D489" t="s">
        <v>1480</v>
      </c>
      <c r="E489" t="s">
        <v>1481</v>
      </c>
      <c r="F489" t="s">
        <v>104</v>
      </c>
      <c r="G489">
        <v>1</v>
      </c>
      <c r="H489">
        <f t="shared" si="14"/>
        <v>4</v>
      </c>
      <c r="I489" s="6">
        <f t="shared" si="15"/>
        <v>0.25</v>
      </c>
    </row>
    <row r="490" spans="1:9" x14ac:dyDescent="0.2">
      <c r="A490" t="s">
        <v>1482</v>
      </c>
      <c r="B490">
        <v>0</v>
      </c>
      <c r="C490" t="s">
        <v>13</v>
      </c>
      <c r="D490" t="s">
        <v>1483</v>
      </c>
      <c r="E490" t="s">
        <v>1484</v>
      </c>
      <c r="F490" t="s">
        <v>108</v>
      </c>
      <c r="G490">
        <v>0</v>
      </c>
      <c r="H490">
        <f t="shared" si="14"/>
        <v>2</v>
      </c>
      <c r="I490" s="6">
        <f t="shared" si="15"/>
        <v>1</v>
      </c>
    </row>
    <row r="491" spans="1:9" x14ac:dyDescent="0.2">
      <c r="A491" t="s">
        <v>1485</v>
      </c>
      <c r="B491">
        <v>10</v>
      </c>
      <c r="C491" t="s">
        <v>22</v>
      </c>
      <c r="D491" t="s">
        <v>1486</v>
      </c>
      <c r="E491" t="s">
        <v>1487</v>
      </c>
      <c r="F491" t="s">
        <v>62</v>
      </c>
      <c r="G491">
        <v>0</v>
      </c>
      <c r="H491">
        <f t="shared" si="14"/>
        <v>6</v>
      </c>
      <c r="I491" s="6">
        <f t="shared" si="15"/>
        <v>0.5</v>
      </c>
    </row>
    <row r="492" spans="1:9" x14ac:dyDescent="0.2">
      <c r="A492" t="s">
        <v>1488</v>
      </c>
      <c r="B492">
        <v>0</v>
      </c>
      <c r="C492" t="s">
        <v>80</v>
      </c>
      <c r="D492" t="s">
        <v>1489</v>
      </c>
      <c r="E492" t="s">
        <v>1490</v>
      </c>
      <c r="F492" t="s">
        <v>46</v>
      </c>
      <c r="G492">
        <v>1</v>
      </c>
      <c r="H492">
        <f t="shared" si="14"/>
        <v>3</v>
      </c>
      <c r="I492" s="6">
        <f t="shared" si="15"/>
        <v>0.66666666666666663</v>
      </c>
    </row>
    <row r="493" spans="1:9" x14ac:dyDescent="0.2">
      <c r="A493" t="s">
        <v>1491</v>
      </c>
      <c r="B493">
        <v>7</v>
      </c>
      <c r="C493" t="s">
        <v>39</v>
      </c>
      <c r="D493" t="s">
        <v>1492</v>
      </c>
      <c r="E493" t="s">
        <v>1493</v>
      </c>
      <c r="F493" t="s">
        <v>108</v>
      </c>
      <c r="G493">
        <v>0</v>
      </c>
      <c r="H493">
        <f t="shared" si="14"/>
        <v>2</v>
      </c>
      <c r="I493" s="6">
        <f t="shared" si="15"/>
        <v>1</v>
      </c>
    </row>
    <row r="494" spans="1:9" x14ac:dyDescent="0.2">
      <c r="A494" t="s">
        <v>1494</v>
      </c>
      <c r="B494">
        <v>0</v>
      </c>
      <c r="C494" t="s">
        <v>8</v>
      </c>
      <c r="D494" t="s">
        <v>1495</v>
      </c>
      <c r="E494" t="s">
        <v>1496</v>
      </c>
      <c r="F494" t="s">
        <v>50</v>
      </c>
      <c r="G494">
        <v>1</v>
      </c>
      <c r="H494">
        <f t="shared" si="14"/>
        <v>2</v>
      </c>
      <c r="I494" s="6">
        <f t="shared" si="15"/>
        <v>0.5</v>
      </c>
    </row>
    <row r="495" spans="1:9" x14ac:dyDescent="0.2">
      <c r="A495" t="s">
        <v>1497</v>
      </c>
      <c r="B495">
        <v>0</v>
      </c>
      <c r="C495" t="s">
        <v>39</v>
      </c>
      <c r="D495" t="s">
        <v>1498</v>
      </c>
      <c r="E495" t="s">
        <v>1499</v>
      </c>
      <c r="F495" t="s">
        <v>46</v>
      </c>
      <c r="G495">
        <v>1</v>
      </c>
      <c r="H495">
        <f t="shared" si="14"/>
        <v>3</v>
      </c>
      <c r="I495" s="6">
        <f t="shared" si="15"/>
        <v>0.66666666666666663</v>
      </c>
    </row>
    <row r="496" spans="1:9" x14ac:dyDescent="0.2">
      <c r="A496" t="s">
        <v>1500</v>
      </c>
      <c r="B496">
        <v>5</v>
      </c>
      <c r="C496" t="s">
        <v>39</v>
      </c>
      <c r="D496" t="s">
        <v>1501</v>
      </c>
      <c r="E496" t="s">
        <v>1481</v>
      </c>
      <c r="F496" t="s">
        <v>104</v>
      </c>
      <c r="G496">
        <v>1</v>
      </c>
      <c r="H496">
        <f t="shared" si="14"/>
        <v>4</v>
      </c>
      <c r="I496" s="6">
        <f t="shared" si="15"/>
        <v>0.25</v>
      </c>
    </row>
    <row r="497" spans="1:9" x14ac:dyDescent="0.2">
      <c r="A497" t="s">
        <v>1502</v>
      </c>
      <c r="B497">
        <v>2</v>
      </c>
      <c r="C497" t="s">
        <v>22</v>
      </c>
      <c r="D497" t="s">
        <v>1503</v>
      </c>
      <c r="E497" t="s">
        <v>1504</v>
      </c>
      <c r="F497" t="s">
        <v>16</v>
      </c>
      <c r="G497">
        <v>1</v>
      </c>
      <c r="H497">
        <f t="shared" si="14"/>
        <v>5</v>
      </c>
      <c r="I497" s="6">
        <f t="shared" si="15"/>
        <v>0.6</v>
      </c>
    </row>
    <row r="498" spans="1:9" x14ac:dyDescent="0.2">
      <c r="A498" t="s">
        <v>1505</v>
      </c>
      <c r="B498">
        <v>10</v>
      </c>
      <c r="C498" t="s">
        <v>80</v>
      </c>
      <c r="D498" t="s">
        <v>1506</v>
      </c>
      <c r="E498" t="s">
        <v>1507</v>
      </c>
      <c r="F498" t="s">
        <v>72</v>
      </c>
      <c r="G498">
        <v>1</v>
      </c>
      <c r="H498">
        <f t="shared" si="14"/>
        <v>4</v>
      </c>
      <c r="I498" s="6">
        <f t="shared" si="15"/>
        <v>0.5</v>
      </c>
    </row>
    <row r="499" spans="1:9" x14ac:dyDescent="0.2">
      <c r="A499" t="s">
        <v>1508</v>
      </c>
      <c r="B499">
        <v>0</v>
      </c>
      <c r="C499" t="s">
        <v>8</v>
      </c>
      <c r="D499" t="s">
        <v>1509</v>
      </c>
      <c r="E499" t="s">
        <v>1510</v>
      </c>
      <c r="F499" t="s">
        <v>221</v>
      </c>
      <c r="G499">
        <v>0</v>
      </c>
      <c r="H499">
        <f t="shared" si="14"/>
        <v>3</v>
      </c>
      <c r="I499" s="6">
        <f t="shared" si="15"/>
        <v>0.66666666666666663</v>
      </c>
    </row>
    <row r="500" spans="1:9" x14ac:dyDescent="0.2">
      <c r="A500" t="s">
        <v>1511</v>
      </c>
      <c r="B500">
        <v>10</v>
      </c>
      <c r="C500" t="s">
        <v>80</v>
      </c>
      <c r="D500" t="s">
        <v>1512</v>
      </c>
      <c r="E500" t="s">
        <v>1513</v>
      </c>
      <c r="F500" t="s">
        <v>207</v>
      </c>
      <c r="G500">
        <v>1</v>
      </c>
      <c r="H500">
        <f t="shared" si="14"/>
        <v>3</v>
      </c>
      <c r="I500" s="6">
        <f t="shared" si="15"/>
        <v>1</v>
      </c>
    </row>
    <row r="501" spans="1:9" x14ac:dyDescent="0.2">
      <c r="A501" t="s">
        <v>1514</v>
      </c>
      <c r="B501">
        <v>0</v>
      </c>
      <c r="C501" t="s">
        <v>80</v>
      </c>
      <c r="D501" t="s">
        <v>1515</v>
      </c>
      <c r="E501" t="s">
        <v>1516</v>
      </c>
      <c r="F501" t="s">
        <v>72</v>
      </c>
      <c r="G501">
        <v>0</v>
      </c>
      <c r="H501">
        <f t="shared" si="14"/>
        <v>4</v>
      </c>
      <c r="I501" s="6">
        <f t="shared" si="15"/>
        <v>0.5</v>
      </c>
    </row>
    <row r="502" spans="1:9" x14ac:dyDescent="0.2">
      <c r="A502" t="s">
        <v>1517</v>
      </c>
      <c r="B502">
        <v>11</v>
      </c>
      <c r="C502" t="s">
        <v>22</v>
      </c>
      <c r="D502" t="s">
        <v>1518</v>
      </c>
      <c r="E502" t="s">
        <v>1519</v>
      </c>
      <c r="F502" t="s">
        <v>42</v>
      </c>
      <c r="G502">
        <v>0</v>
      </c>
      <c r="H502">
        <f t="shared" si="14"/>
        <v>4</v>
      </c>
      <c r="I502" s="6">
        <f t="shared" si="15"/>
        <v>1</v>
      </c>
    </row>
    <row r="503" spans="1:9" x14ac:dyDescent="0.2">
      <c r="A503" t="s">
        <v>1520</v>
      </c>
      <c r="B503">
        <v>7</v>
      </c>
      <c r="C503" t="s">
        <v>80</v>
      </c>
      <c r="D503" t="s">
        <v>1521</v>
      </c>
      <c r="E503" t="s">
        <v>1522</v>
      </c>
      <c r="F503" t="s">
        <v>50</v>
      </c>
      <c r="G503">
        <v>0</v>
      </c>
      <c r="H503">
        <f t="shared" si="14"/>
        <v>2</v>
      </c>
      <c r="I503" s="6">
        <f t="shared" si="15"/>
        <v>0.5</v>
      </c>
    </row>
    <row r="504" spans="1:9" x14ac:dyDescent="0.2">
      <c r="A504" t="s">
        <v>1523</v>
      </c>
      <c r="B504">
        <v>9</v>
      </c>
      <c r="C504" t="s">
        <v>13</v>
      </c>
      <c r="D504" t="s">
        <v>1524</v>
      </c>
      <c r="E504" t="s">
        <v>1525</v>
      </c>
      <c r="F504" t="s">
        <v>11</v>
      </c>
      <c r="G504">
        <v>1</v>
      </c>
      <c r="H504">
        <f t="shared" si="14"/>
        <v>4</v>
      </c>
      <c r="I504" s="6">
        <f t="shared" si="15"/>
        <v>0.5</v>
      </c>
    </row>
    <row r="505" spans="1:9" x14ac:dyDescent="0.2">
      <c r="A505" t="s">
        <v>1526</v>
      </c>
      <c r="B505">
        <v>8</v>
      </c>
      <c r="C505" t="s">
        <v>80</v>
      </c>
      <c r="D505" t="s">
        <v>334</v>
      </c>
      <c r="E505" t="s">
        <v>1527</v>
      </c>
      <c r="F505" t="s">
        <v>25</v>
      </c>
      <c r="G505">
        <v>0</v>
      </c>
      <c r="H505">
        <f t="shared" si="14"/>
        <v>7</v>
      </c>
      <c r="I505" s="6">
        <f t="shared" si="15"/>
        <v>0.7142857142857143</v>
      </c>
    </row>
    <row r="506" spans="1:9" x14ac:dyDescent="0.2">
      <c r="A506" t="s">
        <v>1528</v>
      </c>
      <c r="B506">
        <v>1</v>
      </c>
      <c r="C506" t="s">
        <v>13</v>
      </c>
      <c r="D506" t="s">
        <v>1529</v>
      </c>
      <c r="E506" t="s">
        <v>1530</v>
      </c>
      <c r="F506" t="s">
        <v>194</v>
      </c>
      <c r="G506">
        <v>1</v>
      </c>
      <c r="H506">
        <f t="shared" si="14"/>
        <v>3</v>
      </c>
      <c r="I506" s="6">
        <f t="shared" si="15"/>
        <v>1</v>
      </c>
    </row>
    <row r="507" spans="1:9" x14ac:dyDescent="0.2">
      <c r="A507" t="s">
        <v>1531</v>
      </c>
      <c r="B507">
        <v>2</v>
      </c>
      <c r="C507" t="s">
        <v>22</v>
      </c>
      <c r="D507" t="s">
        <v>1532</v>
      </c>
      <c r="E507" t="s">
        <v>1533</v>
      </c>
      <c r="F507" t="s">
        <v>54</v>
      </c>
      <c r="G507">
        <v>1</v>
      </c>
      <c r="H507">
        <f t="shared" si="14"/>
        <v>11</v>
      </c>
      <c r="I507" s="6">
        <f t="shared" si="15"/>
        <v>0.63636363636363635</v>
      </c>
    </row>
    <row r="508" spans="1:9" x14ac:dyDescent="0.2">
      <c r="A508" t="s">
        <v>1534</v>
      </c>
      <c r="B508">
        <v>0</v>
      </c>
      <c r="C508" t="s">
        <v>8</v>
      </c>
      <c r="D508" t="s">
        <v>1535</v>
      </c>
      <c r="E508" t="s">
        <v>1536</v>
      </c>
      <c r="F508" t="s">
        <v>16</v>
      </c>
      <c r="G508">
        <v>1</v>
      </c>
      <c r="H508">
        <f t="shared" si="14"/>
        <v>5</v>
      </c>
      <c r="I508" s="6">
        <f t="shared" si="15"/>
        <v>0.6</v>
      </c>
    </row>
    <row r="509" spans="1:9" x14ac:dyDescent="0.2">
      <c r="A509" t="s">
        <v>1537</v>
      </c>
      <c r="B509">
        <v>5</v>
      </c>
      <c r="C509" t="s">
        <v>80</v>
      </c>
      <c r="D509" t="s">
        <v>1538</v>
      </c>
      <c r="E509" t="s">
        <v>1539</v>
      </c>
      <c r="F509" t="s">
        <v>42</v>
      </c>
      <c r="G509">
        <v>1</v>
      </c>
      <c r="H509">
        <f t="shared" si="14"/>
        <v>4</v>
      </c>
      <c r="I509" s="6">
        <f t="shared" si="15"/>
        <v>1</v>
      </c>
    </row>
    <row r="510" spans="1:9" x14ac:dyDescent="0.2">
      <c r="A510" t="s">
        <v>1540</v>
      </c>
      <c r="B510">
        <v>4</v>
      </c>
      <c r="C510" t="s">
        <v>80</v>
      </c>
      <c r="D510" t="s">
        <v>1541</v>
      </c>
      <c r="E510" t="s">
        <v>1542</v>
      </c>
      <c r="F510" t="s">
        <v>25</v>
      </c>
      <c r="G510">
        <v>0</v>
      </c>
      <c r="H510">
        <f t="shared" si="14"/>
        <v>7</v>
      </c>
      <c r="I510" s="6">
        <f t="shared" si="15"/>
        <v>0.7142857142857143</v>
      </c>
    </row>
    <row r="511" spans="1:9" x14ac:dyDescent="0.2">
      <c r="A511" t="s">
        <v>1543</v>
      </c>
      <c r="B511">
        <v>1</v>
      </c>
      <c r="C511" t="s">
        <v>8</v>
      </c>
      <c r="D511" t="s">
        <v>1544</v>
      </c>
      <c r="E511" t="s">
        <v>1545</v>
      </c>
      <c r="F511" t="s">
        <v>37</v>
      </c>
      <c r="G511">
        <v>1</v>
      </c>
      <c r="H511">
        <f t="shared" si="14"/>
        <v>8</v>
      </c>
      <c r="I511" s="6">
        <f t="shared" si="15"/>
        <v>0.625</v>
      </c>
    </row>
    <row r="512" spans="1:9" x14ac:dyDescent="0.2">
      <c r="A512" t="s">
        <v>1546</v>
      </c>
      <c r="B512">
        <v>11</v>
      </c>
      <c r="C512" t="s">
        <v>8</v>
      </c>
      <c r="D512" t="s">
        <v>1547</v>
      </c>
      <c r="E512" t="s">
        <v>1548</v>
      </c>
      <c r="F512" t="s">
        <v>11</v>
      </c>
      <c r="G512">
        <v>1</v>
      </c>
      <c r="H512">
        <f t="shared" si="14"/>
        <v>4</v>
      </c>
      <c r="I512" s="6">
        <f t="shared" si="15"/>
        <v>0.5</v>
      </c>
    </row>
    <row r="513" spans="1:9" x14ac:dyDescent="0.2">
      <c r="A513" t="s">
        <v>1549</v>
      </c>
      <c r="B513">
        <v>7</v>
      </c>
      <c r="C513" t="s">
        <v>80</v>
      </c>
      <c r="D513" t="s">
        <v>1550</v>
      </c>
      <c r="E513" t="s">
        <v>1551</v>
      </c>
      <c r="F513" t="s">
        <v>58</v>
      </c>
      <c r="G513">
        <v>1</v>
      </c>
      <c r="H513">
        <f t="shared" si="14"/>
        <v>2</v>
      </c>
      <c r="I513" s="6">
        <f t="shared" si="15"/>
        <v>1</v>
      </c>
    </row>
    <row r="514" spans="1:9" x14ac:dyDescent="0.2">
      <c r="A514" t="s">
        <v>1552</v>
      </c>
      <c r="B514">
        <v>6</v>
      </c>
      <c r="C514" t="s">
        <v>13</v>
      </c>
      <c r="D514" t="s">
        <v>1553</v>
      </c>
      <c r="E514" t="s">
        <v>1554</v>
      </c>
      <c r="F514" t="s">
        <v>142</v>
      </c>
      <c r="G514">
        <v>1</v>
      </c>
      <c r="H514">
        <f t="shared" ref="H514:H577" si="16">COUNTIF($F$2:$F$100, F514)</f>
        <v>5</v>
      </c>
      <c r="I514" s="6">
        <f t="shared" ref="I514:I577" si="17">SUMIFS($G$2:$G$100, $F$2:$F$100, F514) / COUNTIF($F$2:$F$100, F514)</f>
        <v>0.4</v>
      </c>
    </row>
    <row r="515" spans="1:9" x14ac:dyDescent="0.2">
      <c r="A515" t="s">
        <v>1555</v>
      </c>
      <c r="B515">
        <v>12</v>
      </c>
      <c r="C515" t="s">
        <v>80</v>
      </c>
      <c r="D515" t="s">
        <v>1556</v>
      </c>
      <c r="E515" t="s">
        <v>1557</v>
      </c>
      <c r="F515" t="s">
        <v>11</v>
      </c>
      <c r="G515">
        <v>0</v>
      </c>
      <c r="H515">
        <f t="shared" si="16"/>
        <v>4</v>
      </c>
      <c r="I515" s="6">
        <f t="shared" si="17"/>
        <v>0.5</v>
      </c>
    </row>
    <row r="516" spans="1:9" x14ac:dyDescent="0.2">
      <c r="A516" t="s">
        <v>1558</v>
      </c>
      <c r="B516">
        <v>0</v>
      </c>
      <c r="C516" t="s">
        <v>39</v>
      </c>
      <c r="D516" t="s">
        <v>1559</v>
      </c>
      <c r="E516" t="s">
        <v>1560</v>
      </c>
      <c r="F516" t="s">
        <v>104</v>
      </c>
      <c r="G516">
        <v>1</v>
      </c>
      <c r="H516">
        <f t="shared" si="16"/>
        <v>4</v>
      </c>
      <c r="I516" s="6">
        <f t="shared" si="17"/>
        <v>0.25</v>
      </c>
    </row>
    <row r="517" spans="1:9" x14ac:dyDescent="0.2">
      <c r="A517" t="s">
        <v>1561</v>
      </c>
      <c r="B517">
        <v>8</v>
      </c>
      <c r="C517" t="s">
        <v>39</v>
      </c>
      <c r="D517" t="s">
        <v>1562</v>
      </c>
      <c r="E517" t="s">
        <v>1563</v>
      </c>
      <c r="F517" t="s">
        <v>221</v>
      </c>
      <c r="G517">
        <v>1</v>
      </c>
      <c r="H517">
        <f t="shared" si="16"/>
        <v>3</v>
      </c>
      <c r="I517" s="6">
        <f t="shared" si="17"/>
        <v>0.66666666666666663</v>
      </c>
    </row>
    <row r="518" spans="1:9" x14ac:dyDescent="0.2">
      <c r="A518" t="s">
        <v>1564</v>
      </c>
      <c r="B518">
        <v>8</v>
      </c>
      <c r="C518" t="s">
        <v>22</v>
      </c>
      <c r="D518" t="s">
        <v>1565</v>
      </c>
      <c r="E518" t="s">
        <v>1566</v>
      </c>
      <c r="F518" t="s">
        <v>33</v>
      </c>
      <c r="G518">
        <v>1</v>
      </c>
      <c r="H518">
        <f t="shared" si="16"/>
        <v>4</v>
      </c>
      <c r="I518" s="6">
        <f t="shared" si="17"/>
        <v>0.5</v>
      </c>
    </row>
    <row r="519" spans="1:9" x14ac:dyDescent="0.2">
      <c r="A519" t="s">
        <v>1567</v>
      </c>
      <c r="B519">
        <v>9</v>
      </c>
      <c r="C519" t="s">
        <v>8</v>
      </c>
      <c r="D519" t="s">
        <v>1568</v>
      </c>
      <c r="E519" t="s">
        <v>1569</v>
      </c>
      <c r="F519" t="s">
        <v>108</v>
      </c>
      <c r="G519">
        <v>0</v>
      </c>
      <c r="H519">
        <f t="shared" si="16"/>
        <v>2</v>
      </c>
      <c r="I519" s="6">
        <f t="shared" si="17"/>
        <v>1</v>
      </c>
    </row>
    <row r="520" spans="1:9" x14ac:dyDescent="0.2">
      <c r="A520" t="s">
        <v>1570</v>
      </c>
      <c r="B520">
        <v>5</v>
      </c>
      <c r="C520" t="s">
        <v>39</v>
      </c>
      <c r="D520" t="s">
        <v>286</v>
      </c>
      <c r="E520" t="s">
        <v>1571</v>
      </c>
      <c r="F520" t="s">
        <v>104</v>
      </c>
      <c r="G520">
        <v>0</v>
      </c>
      <c r="H520">
        <f t="shared" si="16"/>
        <v>4</v>
      </c>
      <c r="I520" s="6">
        <f t="shared" si="17"/>
        <v>0.25</v>
      </c>
    </row>
    <row r="521" spans="1:9" x14ac:dyDescent="0.2">
      <c r="A521" t="s">
        <v>1572</v>
      </c>
      <c r="B521">
        <v>6</v>
      </c>
      <c r="C521" t="s">
        <v>80</v>
      </c>
      <c r="D521" t="s">
        <v>1573</v>
      </c>
      <c r="E521" t="s">
        <v>1574</v>
      </c>
      <c r="F521" t="s">
        <v>33</v>
      </c>
      <c r="G521">
        <v>1</v>
      </c>
      <c r="H521">
        <f t="shared" si="16"/>
        <v>4</v>
      </c>
      <c r="I521" s="6">
        <f t="shared" si="17"/>
        <v>0.5</v>
      </c>
    </row>
    <row r="522" spans="1:9" x14ac:dyDescent="0.2">
      <c r="A522" t="s">
        <v>1575</v>
      </c>
      <c r="B522">
        <v>6</v>
      </c>
      <c r="C522" t="s">
        <v>13</v>
      </c>
      <c r="D522" t="s">
        <v>1576</v>
      </c>
      <c r="E522" t="s">
        <v>1577</v>
      </c>
      <c r="F522" t="s">
        <v>11</v>
      </c>
      <c r="G522">
        <v>1</v>
      </c>
      <c r="H522">
        <f t="shared" si="16"/>
        <v>4</v>
      </c>
      <c r="I522" s="6">
        <f t="shared" si="17"/>
        <v>0.5</v>
      </c>
    </row>
    <row r="523" spans="1:9" x14ac:dyDescent="0.2">
      <c r="A523" t="s">
        <v>1578</v>
      </c>
      <c r="B523">
        <v>7</v>
      </c>
      <c r="C523" t="s">
        <v>8</v>
      </c>
      <c r="D523" t="s">
        <v>1579</v>
      </c>
      <c r="E523" t="s">
        <v>1580</v>
      </c>
      <c r="F523" t="s">
        <v>11</v>
      </c>
      <c r="G523">
        <v>0</v>
      </c>
      <c r="H523">
        <f t="shared" si="16"/>
        <v>4</v>
      </c>
      <c r="I523" s="6">
        <f t="shared" si="17"/>
        <v>0.5</v>
      </c>
    </row>
    <row r="524" spans="1:9" x14ac:dyDescent="0.2">
      <c r="A524" t="s">
        <v>1581</v>
      </c>
      <c r="B524">
        <v>0</v>
      </c>
      <c r="C524" t="s">
        <v>39</v>
      </c>
      <c r="D524" t="s">
        <v>1582</v>
      </c>
      <c r="E524" t="s">
        <v>1583</v>
      </c>
      <c r="F524" t="s">
        <v>20</v>
      </c>
      <c r="G524">
        <v>1</v>
      </c>
      <c r="H524">
        <f t="shared" si="16"/>
        <v>8</v>
      </c>
      <c r="I524" s="6">
        <f t="shared" si="17"/>
        <v>0.5</v>
      </c>
    </row>
    <row r="525" spans="1:9" x14ac:dyDescent="0.2">
      <c r="A525" t="s">
        <v>1584</v>
      </c>
      <c r="B525">
        <v>5</v>
      </c>
      <c r="C525" t="s">
        <v>80</v>
      </c>
      <c r="D525" t="s">
        <v>1585</v>
      </c>
      <c r="E525" t="s">
        <v>1586</v>
      </c>
      <c r="F525" t="s">
        <v>25</v>
      </c>
      <c r="G525">
        <v>0</v>
      </c>
      <c r="H525">
        <f t="shared" si="16"/>
        <v>7</v>
      </c>
      <c r="I525" s="6">
        <f t="shared" si="17"/>
        <v>0.7142857142857143</v>
      </c>
    </row>
    <row r="526" spans="1:9" x14ac:dyDescent="0.2">
      <c r="A526" t="s">
        <v>1587</v>
      </c>
      <c r="B526">
        <v>0</v>
      </c>
      <c r="C526" t="s">
        <v>13</v>
      </c>
      <c r="D526" t="s">
        <v>1588</v>
      </c>
      <c r="E526" t="s">
        <v>1589</v>
      </c>
      <c r="F526" t="s">
        <v>108</v>
      </c>
      <c r="G526">
        <v>0</v>
      </c>
      <c r="H526">
        <f t="shared" si="16"/>
        <v>2</v>
      </c>
      <c r="I526" s="6">
        <f t="shared" si="17"/>
        <v>1</v>
      </c>
    </row>
    <row r="527" spans="1:9" x14ac:dyDescent="0.2">
      <c r="A527" t="s">
        <v>1590</v>
      </c>
      <c r="B527">
        <v>6</v>
      </c>
      <c r="C527" t="s">
        <v>80</v>
      </c>
      <c r="D527" t="s">
        <v>1591</v>
      </c>
      <c r="E527" t="s">
        <v>1592</v>
      </c>
      <c r="F527" t="s">
        <v>72</v>
      </c>
      <c r="G527">
        <v>1</v>
      </c>
      <c r="H527">
        <f t="shared" si="16"/>
        <v>4</v>
      </c>
      <c r="I527" s="6">
        <f t="shared" si="17"/>
        <v>0.5</v>
      </c>
    </row>
    <row r="528" spans="1:9" x14ac:dyDescent="0.2">
      <c r="A528" t="s">
        <v>1593</v>
      </c>
      <c r="B528">
        <v>0</v>
      </c>
      <c r="C528" t="s">
        <v>13</v>
      </c>
      <c r="D528" t="s">
        <v>1594</v>
      </c>
      <c r="E528" t="s">
        <v>1595</v>
      </c>
      <c r="F528" t="s">
        <v>207</v>
      </c>
      <c r="G528">
        <v>0</v>
      </c>
      <c r="H528">
        <f t="shared" si="16"/>
        <v>3</v>
      </c>
      <c r="I528" s="6">
        <f t="shared" si="17"/>
        <v>1</v>
      </c>
    </row>
    <row r="529" spans="1:9" x14ac:dyDescent="0.2">
      <c r="A529" t="s">
        <v>1596</v>
      </c>
      <c r="B529">
        <v>5</v>
      </c>
      <c r="C529" t="s">
        <v>8</v>
      </c>
      <c r="D529" t="s">
        <v>1597</v>
      </c>
      <c r="E529" t="s">
        <v>1598</v>
      </c>
      <c r="F529" t="s">
        <v>42</v>
      </c>
      <c r="G529">
        <v>1</v>
      </c>
      <c r="H529">
        <f t="shared" si="16"/>
        <v>4</v>
      </c>
      <c r="I529" s="6">
        <f t="shared" si="17"/>
        <v>1</v>
      </c>
    </row>
    <row r="530" spans="1:9" x14ac:dyDescent="0.2">
      <c r="A530" t="s">
        <v>1599</v>
      </c>
      <c r="B530">
        <v>2</v>
      </c>
      <c r="C530" t="s">
        <v>13</v>
      </c>
      <c r="D530" t="s">
        <v>1600</v>
      </c>
      <c r="E530" t="s">
        <v>1601</v>
      </c>
      <c r="F530" t="s">
        <v>46</v>
      </c>
      <c r="G530">
        <v>1</v>
      </c>
      <c r="H530">
        <f t="shared" si="16"/>
        <v>3</v>
      </c>
      <c r="I530" s="6">
        <f t="shared" si="17"/>
        <v>0.66666666666666663</v>
      </c>
    </row>
    <row r="531" spans="1:9" x14ac:dyDescent="0.2">
      <c r="A531" t="s">
        <v>1602</v>
      </c>
      <c r="B531">
        <v>11</v>
      </c>
      <c r="C531" t="s">
        <v>39</v>
      </c>
      <c r="D531" t="s">
        <v>1603</v>
      </c>
      <c r="E531" t="s">
        <v>1604</v>
      </c>
      <c r="F531" t="s">
        <v>72</v>
      </c>
      <c r="G531">
        <v>0</v>
      </c>
      <c r="H531">
        <f t="shared" si="16"/>
        <v>4</v>
      </c>
      <c r="I531" s="6">
        <f t="shared" si="17"/>
        <v>0.5</v>
      </c>
    </row>
    <row r="532" spans="1:9" x14ac:dyDescent="0.2">
      <c r="A532" t="s">
        <v>1605</v>
      </c>
      <c r="B532">
        <v>1</v>
      </c>
      <c r="C532" t="s">
        <v>8</v>
      </c>
      <c r="D532" t="s">
        <v>1606</v>
      </c>
      <c r="E532" t="s">
        <v>1607</v>
      </c>
      <c r="F532" t="s">
        <v>62</v>
      </c>
      <c r="G532">
        <v>0</v>
      </c>
      <c r="H532">
        <f t="shared" si="16"/>
        <v>6</v>
      </c>
      <c r="I532" s="6">
        <f t="shared" si="17"/>
        <v>0.5</v>
      </c>
    </row>
    <row r="533" spans="1:9" x14ac:dyDescent="0.2">
      <c r="A533" t="s">
        <v>1608</v>
      </c>
      <c r="B533">
        <v>5</v>
      </c>
      <c r="C533" t="s">
        <v>22</v>
      </c>
      <c r="D533" t="s">
        <v>1609</v>
      </c>
      <c r="E533" t="s">
        <v>1610</v>
      </c>
      <c r="F533" t="s">
        <v>142</v>
      </c>
      <c r="G533">
        <v>0</v>
      </c>
      <c r="H533">
        <f t="shared" si="16"/>
        <v>5</v>
      </c>
      <c r="I533" s="6">
        <f t="shared" si="17"/>
        <v>0.4</v>
      </c>
    </row>
    <row r="534" spans="1:9" x14ac:dyDescent="0.2">
      <c r="A534" t="s">
        <v>1611</v>
      </c>
      <c r="B534">
        <v>2</v>
      </c>
      <c r="C534" t="s">
        <v>8</v>
      </c>
      <c r="D534" t="s">
        <v>1612</v>
      </c>
      <c r="E534" t="s">
        <v>1613</v>
      </c>
      <c r="F534" t="s">
        <v>72</v>
      </c>
      <c r="G534">
        <v>1</v>
      </c>
      <c r="H534">
        <f t="shared" si="16"/>
        <v>4</v>
      </c>
      <c r="I534" s="6">
        <f t="shared" si="17"/>
        <v>0.5</v>
      </c>
    </row>
    <row r="535" spans="1:9" x14ac:dyDescent="0.2">
      <c r="A535" t="s">
        <v>1614</v>
      </c>
      <c r="B535">
        <v>8</v>
      </c>
      <c r="C535" t="s">
        <v>39</v>
      </c>
      <c r="D535" t="s">
        <v>1615</v>
      </c>
      <c r="E535" t="s">
        <v>1616</v>
      </c>
      <c r="F535" t="s">
        <v>108</v>
      </c>
      <c r="G535">
        <v>0</v>
      </c>
      <c r="H535">
        <f t="shared" si="16"/>
        <v>2</v>
      </c>
      <c r="I535" s="6">
        <f t="shared" si="17"/>
        <v>1</v>
      </c>
    </row>
    <row r="536" spans="1:9" x14ac:dyDescent="0.2">
      <c r="A536" t="s">
        <v>1617</v>
      </c>
      <c r="B536">
        <v>6</v>
      </c>
      <c r="C536" t="s">
        <v>39</v>
      </c>
      <c r="D536" t="s">
        <v>1618</v>
      </c>
      <c r="E536" t="s">
        <v>1619</v>
      </c>
      <c r="F536" t="s">
        <v>33</v>
      </c>
      <c r="G536">
        <v>0</v>
      </c>
      <c r="H536">
        <f t="shared" si="16"/>
        <v>4</v>
      </c>
      <c r="I536" s="6">
        <f t="shared" si="17"/>
        <v>0.5</v>
      </c>
    </row>
    <row r="537" spans="1:9" x14ac:dyDescent="0.2">
      <c r="A537" t="s">
        <v>1620</v>
      </c>
      <c r="B537">
        <v>1</v>
      </c>
      <c r="C537" t="s">
        <v>13</v>
      </c>
      <c r="D537" t="s">
        <v>1621</v>
      </c>
      <c r="E537" t="s">
        <v>1622</v>
      </c>
      <c r="F537" t="s">
        <v>221</v>
      </c>
      <c r="G537">
        <v>1</v>
      </c>
      <c r="H537">
        <f t="shared" si="16"/>
        <v>3</v>
      </c>
      <c r="I537" s="6">
        <f t="shared" si="17"/>
        <v>0.66666666666666663</v>
      </c>
    </row>
    <row r="538" spans="1:9" x14ac:dyDescent="0.2">
      <c r="A538" t="s">
        <v>1623</v>
      </c>
      <c r="B538">
        <v>2</v>
      </c>
      <c r="C538" t="s">
        <v>39</v>
      </c>
      <c r="D538" t="s">
        <v>1624</v>
      </c>
      <c r="E538" t="s">
        <v>1625</v>
      </c>
      <c r="F538" t="s">
        <v>29</v>
      </c>
      <c r="G538">
        <v>1</v>
      </c>
      <c r="H538">
        <f t="shared" si="16"/>
        <v>8</v>
      </c>
      <c r="I538" s="6">
        <f t="shared" si="17"/>
        <v>0.875</v>
      </c>
    </row>
    <row r="539" spans="1:9" x14ac:dyDescent="0.2">
      <c r="A539" t="s">
        <v>1626</v>
      </c>
      <c r="B539">
        <v>0</v>
      </c>
      <c r="C539" t="s">
        <v>22</v>
      </c>
      <c r="D539" t="s">
        <v>1627</v>
      </c>
      <c r="E539" t="s">
        <v>1628</v>
      </c>
      <c r="F539" t="s">
        <v>46</v>
      </c>
      <c r="G539">
        <v>1</v>
      </c>
      <c r="H539">
        <f t="shared" si="16"/>
        <v>3</v>
      </c>
      <c r="I539" s="6">
        <f t="shared" si="17"/>
        <v>0.66666666666666663</v>
      </c>
    </row>
    <row r="540" spans="1:9" x14ac:dyDescent="0.2">
      <c r="A540" t="s">
        <v>1629</v>
      </c>
      <c r="B540">
        <v>0</v>
      </c>
      <c r="C540" t="s">
        <v>8</v>
      </c>
      <c r="D540" t="s">
        <v>1630</v>
      </c>
      <c r="E540" t="s">
        <v>1631</v>
      </c>
      <c r="F540" t="s">
        <v>54</v>
      </c>
      <c r="G540">
        <v>1</v>
      </c>
      <c r="H540">
        <f t="shared" si="16"/>
        <v>11</v>
      </c>
      <c r="I540" s="6">
        <f t="shared" si="17"/>
        <v>0.63636363636363635</v>
      </c>
    </row>
    <row r="541" spans="1:9" x14ac:dyDescent="0.2">
      <c r="A541" t="s">
        <v>1632</v>
      </c>
      <c r="B541">
        <v>6</v>
      </c>
      <c r="C541" t="s">
        <v>39</v>
      </c>
      <c r="D541" t="s">
        <v>1633</v>
      </c>
      <c r="E541" t="s">
        <v>1634</v>
      </c>
      <c r="F541" t="s">
        <v>104</v>
      </c>
      <c r="G541">
        <v>1</v>
      </c>
      <c r="H541">
        <f t="shared" si="16"/>
        <v>4</v>
      </c>
      <c r="I541" s="6">
        <f t="shared" si="17"/>
        <v>0.25</v>
      </c>
    </row>
    <row r="542" spans="1:9" x14ac:dyDescent="0.2">
      <c r="A542" t="s">
        <v>1635</v>
      </c>
      <c r="B542">
        <v>7</v>
      </c>
      <c r="C542" t="s">
        <v>13</v>
      </c>
      <c r="D542" t="s">
        <v>1636</v>
      </c>
      <c r="E542" t="s">
        <v>1637</v>
      </c>
      <c r="F542" t="s">
        <v>211</v>
      </c>
      <c r="G542">
        <v>1</v>
      </c>
      <c r="H542">
        <f t="shared" si="16"/>
        <v>3</v>
      </c>
      <c r="I542" s="6">
        <f t="shared" si="17"/>
        <v>0.33333333333333331</v>
      </c>
    </row>
    <row r="543" spans="1:9" x14ac:dyDescent="0.2">
      <c r="A543" t="s">
        <v>1638</v>
      </c>
      <c r="B543">
        <v>1</v>
      </c>
      <c r="C543" t="s">
        <v>80</v>
      </c>
      <c r="D543" t="s">
        <v>1639</v>
      </c>
      <c r="E543" t="s">
        <v>1640</v>
      </c>
      <c r="F543" t="s">
        <v>142</v>
      </c>
      <c r="G543">
        <v>0</v>
      </c>
      <c r="H543">
        <f t="shared" si="16"/>
        <v>5</v>
      </c>
      <c r="I543" s="6">
        <f t="shared" si="17"/>
        <v>0.4</v>
      </c>
    </row>
    <row r="544" spans="1:9" x14ac:dyDescent="0.2">
      <c r="A544" t="s">
        <v>1641</v>
      </c>
      <c r="B544">
        <v>6</v>
      </c>
      <c r="C544" t="s">
        <v>39</v>
      </c>
      <c r="D544" t="s">
        <v>1642</v>
      </c>
      <c r="E544" t="s">
        <v>1643</v>
      </c>
      <c r="F544" t="s">
        <v>142</v>
      </c>
      <c r="G544">
        <v>1</v>
      </c>
      <c r="H544">
        <f t="shared" si="16"/>
        <v>5</v>
      </c>
      <c r="I544" s="6">
        <f t="shared" si="17"/>
        <v>0.4</v>
      </c>
    </row>
    <row r="545" spans="1:9" x14ac:dyDescent="0.2">
      <c r="A545" t="s">
        <v>1644</v>
      </c>
      <c r="B545">
        <v>0</v>
      </c>
      <c r="C545" t="s">
        <v>8</v>
      </c>
      <c r="D545" t="s">
        <v>1645</v>
      </c>
      <c r="E545" t="s">
        <v>1646</v>
      </c>
      <c r="F545" t="s">
        <v>46</v>
      </c>
      <c r="G545">
        <v>1</v>
      </c>
      <c r="H545">
        <f t="shared" si="16"/>
        <v>3</v>
      </c>
      <c r="I545" s="6">
        <f t="shared" si="17"/>
        <v>0.66666666666666663</v>
      </c>
    </row>
    <row r="546" spans="1:9" x14ac:dyDescent="0.2">
      <c r="A546" t="s">
        <v>1647</v>
      </c>
      <c r="B546">
        <v>5</v>
      </c>
      <c r="C546" t="s">
        <v>8</v>
      </c>
      <c r="D546" t="s">
        <v>1648</v>
      </c>
      <c r="E546" t="s">
        <v>1649</v>
      </c>
      <c r="F546" t="s">
        <v>207</v>
      </c>
      <c r="G546">
        <v>0</v>
      </c>
      <c r="H546">
        <f t="shared" si="16"/>
        <v>3</v>
      </c>
      <c r="I546" s="6">
        <f t="shared" si="17"/>
        <v>1</v>
      </c>
    </row>
    <row r="547" spans="1:9" x14ac:dyDescent="0.2">
      <c r="A547" t="s">
        <v>1650</v>
      </c>
      <c r="B547">
        <v>1</v>
      </c>
      <c r="C547" t="s">
        <v>22</v>
      </c>
      <c r="D547" t="s">
        <v>1651</v>
      </c>
      <c r="E547" t="s">
        <v>1652</v>
      </c>
      <c r="F547" t="s">
        <v>142</v>
      </c>
      <c r="G547">
        <v>0</v>
      </c>
      <c r="H547">
        <f t="shared" si="16"/>
        <v>5</v>
      </c>
      <c r="I547" s="6">
        <f t="shared" si="17"/>
        <v>0.4</v>
      </c>
    </row>
    <row r="548" spans="1:9" x14ac:dyDescent="0.2">
      <c r="A548" t="s">
        <v>1653</v>
      </c>
      <c r="B548">
        <v>9</v>
      </c>
      <c r="C548" t="s">
        <v>80</v>
      </c>
      <c r="D548" t="s">
        <v>1654</v>
      </c>
      <c r="E548" t="s">
        <v>1655</v>
      </c>
      <c r="F548" t="s">
        <v>62</v>
      </c>
      <c r="G548">
        <v>1</v>
      </c>
      <c r="H548">
        <f t="shared" si="16"/>
        <v>6</v>
      </c>
      <c r="I548" s="6">
        <f t="shared" si="17"/>
        <v>0.5</v>
      </c>
    </row>
    <row r="549" spans="1:9" x14ac:dyDescent="0.2">
      <c r="A549" t="s">
        <v>1656</v>
      </c>
      <c r="B549">
        <v>1</v>
      </c>
      <c r="C549" t="s">
        <v>13</v>
      </c>
      <c r="D549" t="s">
        <v>1657</v>
      </c>
      <c r="E549" t="s">
        <v>1658</v>
      </c>
      <c r="F549" t="s">
        <v>221</v>
      </c>
      <c r="G549">
        <v>1</v>
      </c>
      <c r="H549">
        <f t="shared" si="16"/>
        <v>3</v>
      </c>
      <c r="I549" s="6">
        <f t="shared" si="17"/>
        <v>0.66666666666666663</v>
      </c>
    </row>
    <row r="550" spans="1:9" x14ac:dyDescent="0.2">
      <c r="A550" t="s">
        <v>1659</v>
      </c>
      <c r="B550">
        <v>2</v>
      </c>
      <c r="C550" t="s">
        <v>80</v>
      </c>
      <c r="D550" t="s">
        <v>1660</v>
      </c>
      <c r="E550" t="s">
        <v>1661</v>
      </c>
      <c r="F550" t="s">
        <v>29</v>
      </c>
      <c r="G550">
        <v>1</v>
      </c>
      <c r="H550">
        <f t="shared" si="16"/>
        <v>8</v>
      </c>
      <c r="I550" s="6">
        <f t="shared" si="17"/>
        <v>0.875</v>
      </c>
    </row>
    <row r="551" spans="1:9" x14ac:dyDescent="0.2">
      <c r="A551" t="s">
        <v>1662</v>
      </c>
      <c r="B551">
        <v>2</v>
      </c>
      <c r="C551" t="s">
        <v>13</v>
      </c>
      <c r="D551" t="s">
        <v>1663</v>
      </c>
      <c r="E551" t="s">
        <v>1664</v>
      </c>
      <c r="F551" t="s">
        <v>16</v>
      </c>
      <c r="G551">
        <v>1</v>
      </c>
      <c r="H551">
        <f t="shared" si="16"/>
        <v>5</v>
      </c>
      <c r="I551" s="6">
        <f t="shared" si="17"/>
        <v>0.6</v>
      </c>
    </row>
    <row r="552" spans="1:9" x14ac:dyDescent="0.2">
      <c r="A552" t="s">
        <v>1665</v>
      </c>
      <c r="B552">
        <v>0</v>
      </c>
      <c r="C552" t="s">
        <v>39</v>
      </c>
      <c r="D552" t="s">
        <v>1666</v>
      </c>
      <c r="E552" t="s">
        <v>1667</v>
      </c>
      <c r="F552" t="s">
        <v>29</v>
      </c>
      <c r="G552">
        <v>0</v>
      </c>
      <c r="H552">
        <f t="shared" si="16"/>
        <v>8</v>
      </c>
      <c r="I552" s="6">
        <f t="shared" si="17"/>
        <v>0.875</v>
      </c>
    </row>
    <row r="553" spans="1:9" x14ac:dyDescent="0.2">
      <c r="A553" t="s">
        <v>1668</v>
      </c>
      <c r="B553">
        <v>2</v>
      </c>
      <c r="C553" t="s">
        <v>39</v>
      </c>
      <c r="D553" t="s">
        <v>1669</v>
      </c>
      <c r="E553" t="s">
        <v>1670</v>
      </c>
      <c r="F553" t="s">
        <v>37</v>
      </c>
      <c r="G553">
        <v>0</v>
      </c>
      <c r="H553">
        <f t="shared" si="16"/>
        <v>8</v>
      </c>
      <c r="I553" s="6">
        <f t="shared" si="17"/>
        <v>0.625</v>
      </c>
    </row>
    <row r="554" spans="1:9" x14ac:dyDescent="0.2">
      <c r="A554" t="s">
        <v>1671</v>
      </c>
      <c r="B554">
        <v>9</v>
      </c>
      <c r="C554" t="s">
        <v>22</v>
      </c>
      <c r="D554" t="s">
        <v>1672</v>
      </c>
      <c r="E554" t="s">
        <v>1673</v>
      </c>
      <c r="F554" t="s">
        <v>108</v>
      </c>
      <c r="G554">
        <v>1</v>
      </c>
      <c r="H554">
        <f t="shared" si="16"/>
        <v>2</v>
      </c>
      <c r="I554" s="6">
        <f t="shared" si="17"/>
        <v>1</v>
      </c>
    </row>
    <row r="555" spans="1:9" x14ac:dyDescent="0.2">
      <c r="A555" t="s">
        <v>1674</v>
      </c>
      <c r="B555">
        <v>2</v>
      </c>
      <c r="C555" t="s">
        <v>13</v>
      </c>
      <c r="D555" t="s">
        <v>1675</v>
      </c>
      <c r="E555" t="s">
        <v>1676</v>
      </c>
      <c r="F555" t="s">
        <v>46</v>
      </c>
      <c r="G555">
        <v>0</v>
      </c>
      <c r="H555">
        <f t="shared" si="16"/>
        <v>3</v>
      </c>
      <c r="I555" s="6">
        <f t="shared" si="17"/>
        <v>0.66666666666666663</v>
      </c>
    </row>
    <row r="556" spans="1:9" x14ac:dyDescent="0.2">
      <c r="A556" t="s">
        <v>1677</v>
      </c>
      <c r="B556">
        <v>10</v>
      </c>
      <c r="C556" t="s">
        <v>39</v>
      </c>
      <c r="D556" t="s">
        <v>1678</v>
      </c>
      <c r="E556" t="s">
        <v>1679</v>
      </c>
      <c r="F556" t="s">
        <v>42</v>
      </c>
      <c r="G556">
        <v>0</v>
      </c>
      <c r="H556">
        <f t="shared" si="16"/>
        <v>4</v>
      </c>
      <c r="I556" s="6">
        <f t="shared" si="17"/>
        <v>1</v>
      </c>
    </row>
    <row r="557" spans="1:9" x14ac:dyDescent="0.2">
      <c r="A557" t="s">
        <v>1680</v>
      </c>
      <c r="B557">
        <v>1</v>
      </c>
      <c r="C557" t="s">
        <v>80</v>
      </c>
      <c r="D557" t="s">
        <v>1437</v>
      </c>
      <c r="E557" t="s">
        <v>1681</v>
      </c>
      <c r="F557" t="s">
        <v>211</v>
      </c>
      <c r="G557">
        <v>0</v>
      </c>
      <c r="H557">
        <f t="shared" si="16"/>
        <v>3</v>
      </c>
      <c r="I557" s="6">
        <f t="shared" si="17"/>
        <v>0.33333333333333331</v>
      </c>
    </row>
    <row r="558" spans="1:9" x14ac:dyDescent="0.2">
      <c r="A558" t="s">
        <v>1682</v>
      </c>
      <c r="B558">
        <v>2</v>
      </c>
      <c r="C558" t="s">
        <v>13</v>
      </c>
      <c r="D558" t="s">
        <v>1683</v>
      </c>
      <c r="E558" t="s">
        <v>1684</v>
      </c>
      <c r="F558" t="s">
        <v>20</v>
      </c>
      <c r="G558">
        <v>1</v>
      </c>
      <c r="H558">
        <f t="shared" si="16"/>
        <v>8</v>
      </c>
      <c r="I558" s="6">
        <f t="shared" si="17"/>
        <v>0.5</v>
      </c>
    </row>
    <row r="559" spans="1:9" x14ac:dyDescent="0.2">
      <c r="A559" t="s">
        <v>1685</v>
      </c>
      <c r="B559">
        <v>1</v>
      </c>
      <c r="C559" t="s">
        <v>8</v>
      </c>
      <c r="D559" t="s">
        <v>1686</v>
      </c>
      <c r="E559" t="s">
        <v>1687</v>
      </c>
      <c r="F559" t="s">
        <v>50</v>
      </c>
      <c r="G559">
        <v>0</v>
      </c>
      <c r="H559">
        <f t="shared" si="16"/>
        <v>2</v>
      </c>
      <c r="I559" s="6">
        <f t="shared" si="17"/>
        <v>0.5</v>
      </c>
    </row>
    <row r="560" spans="1:9" x14ac:dyDescent="0.2">
      <c r="A560" t="s">
        <v>1688</v>
      </c>
      <c r="B560">
        <v>7</v>
      </c>
      <c r="C560" t="s">
        <v>39</v>
      </c>
      <c r="D560" t="s">
        <v>1689</v>
      </c>
      <c r="E560" t="s">
        <v>1690</v>
      </c>
      <c r="F560" t="s">
        <v>20</v>
      </c>
      <c r="G560">
        <v>0</v>
      </c>
      <c r="H560">
        <f t="shared" si="16"/>
        <v>8</v>
      </c>
      <c r="I560" s="6">
        <f t="shared" si="17"/>
        <v>0.5</v>
      </c>
    </row>
    <row r="561" spans="1:9" x14ac:dyDescent="0.2">
      <c r="A561" t="s">
        <v>1691</v>
      </c>
      <c r="B561">
        <v>3</v>
      </c>
      <c r="C561" t="s">
        <v>8</v>
      </c>
      <c r="D561" t="s">
        <v>1692</v>
      </c>
      <c r="E561" t="s">
        <v>1693</v>
      </c>
      <c r="F561" t="s">
        <v>72</v>
      </c>
      <c r="G561">
        <v>0</v>
      </c>
      <c r="H561">
        <f t="shared" si="16"/>
        <v>4</v>
      </c>
      <c r="I561" s="6">
        <f t="shared" si="17"/>
        <v>0.5</v>
      </c>
    </row>
    <row r="562" spans="1:9" x14ac:dyDescent="0.2">
      <c r="A562" t="s">
        <v>1694</v>
      </c>
      <c r="B562">
        <v>11</v>
      </c>
      <c r="C562" t="s">
        <v>39</v>
      </c>
      <c r="D562" t="s">
        <v>1695</v>
      </c>
      <c r="E562" t="s">
        <v>1696</v>
      </c>
      <c r="F562" t="s">
        <v>29</v>
      </c>
      <c r="G562">
        <v>1</v>
      </c>
      <c r="H562">
        <f t="shared" si="16"/>
        <v>8</v>
      </c>
      <c r="I562" s="6">
        <f t="shared" si="17"/>
        <v>0.875</v>
      </c>
    </row>
    <row r="563" spans="1:9" x14ac:dyDescent="0.2">
      <c r="A563" t="s">
        <v>1697</v>
      </c>
      <c r="B563">
        <v>0</v>
      </c>
      <c r="C563" t="s">
        <v>80</v>
      </c>
      <c r="D563" t="s">
        <v>1698</v>
      </c>
      <c r="E563" t="s">
        <v>1699</v>
      </c>
      <c r="F563" t="s">
        <v>58</v>
      </c>
      <c r="G563">
        <v>0</v>
      </c>
      <c r="H563">
        <f t="shared" si="16"/>
        <v>2</v>
      </c>
      <c r="I563" s="6">
        <f t="shared" si="17"/>
        <v>1</v>
      </c>
    </row>
    <row r="564" spans="1:9" x14ac:dyDescent="0.2">
      <c r="A564" t="s">
        <v>1700</v>
      </c>
      <c r="B564">
        <v>0</v>
      </c>
      <c r="C564" t="s">
        <v>13</v>
      </c>
      <c r="D564" t="s">
        <v>1701</v>
      </c>
      <c r="E564" t="s">
        <v>1702</v>
      </c>
      <c r="F564" t="s">
        <v>37</v>
      </c>
      <c r="G564">
        <v>1</v>
      </c>
      <c r="H564">
        <f t="shared" si="16"/>
        <v>8</v>
      </c>
      <c r="I564" s="6">
        <f t="shared" si="17"/>
        <v>0.625</v>
      </c>
    </row>
    <row r="565" spans="1:9" x14ac:dyDescent="0.2">
      <c r="A565" t="s">
        <v>1703</v>
      </c>
      <c r="B565">
        <v>11</v>
      </c>
      <c r="C565" t="s">
        <v>13</v>
      </c>
      <c r="D565" t="s">
        <v>1704</v>
      </c>
      <c r="E565" t="s">
        <v>1705</v>
      </c>
      <c r="F565" t="s">
        <v>25</v>
      </c>
      <c r="G565">
        <v>0</v>
      </c>
      <c r="H565">
        <f t="shared" si="16"/>
        <v>7</v>
      </c>
      <c r="I565" s="6">
        <f t="shared" si="17"/>
        <v>0.7142857142857143</v>
      </c>
    </row>
    <row r="566" spans="1:9" x14ac:dyDescent="0.2">
      <c r="A566" t="s">
        <v>1706</v>
      </c>
      <c r="B566">
        <v>2</v>
      </c>
      <c r="C566" t="s">
        <v>80</v>
      </c>
      <c r="D566" t="s">
        <v>1707</v>
      </c>
      <c r="E566" t="s">
        <v>1708</v>
      </c>
      <c r="F566" t="s">
        <v>221</v>
      </c>
      <c r="G566">
        <v>1</v>
      </c>
      <c r="H566">
        <f t="shared" si="16"/>
        <v>3</v>
      </c>
      <c r="I566" s="6">
        <f t="shared" si="17"/>
        <v>0.66666666666666663</v>
      </c>
    </row>
    <row r="567" spans="1:9" x14ac:dyDescent="0.2">
      <c r="A567" t="s">
        <v>1709</v>
      </c>
      <c r="B567">
        <v>7</v>
      </c>
      <c r="C567" t="s">
        <v>80</v>
      </c>
      <c r="D567" t="s">
        <v>1710</v>
      </c>
      <c r="E567" t="s">
        <v>1711</v>
      </c>
      <c r="F567" t="s">
        <v>25</v>
      </c>
      <c r="G567">
        <v>0</v>
      </c>
      <c r="H567">
        <f t="shared" si="16"/>
        <v>7</v>
      </c>
      <c r="I567" s="6">
        <f t="shared" si="17"/>
        <v>0.7142857142857143</v>
      </c>
    </row>
    <row r="568" spans="1:9" x14ac:dyDescent="0.2">
      <c r="A568" t="s">
        <v>1712</v>
      </c>
      <c r="B568">
        <v>2</v>
      </c>
      <c r="C568" t="s">
        <v>8</v>
      </c>
      <c r="D568" t="s">
        <v>1713</v>
      </c>
      <c r="E568" t="s">
        <v>1714</v>
      </c>
      <c r="F568" t="s">
        <v>142</v>
      </c>
      <c r="G568">
        <v>1</v>
      </c>
      <c r="H568">
        <f t="shared" si="16"/>
        <v>5</v>
      </c>
      <c r="I568" s="6">
        <f t="shared" si="17"/>
        <v>0.4</v>
      </c>
    </row>
    <row r="569" spans="1:9" x14ac:dyDescent="0.2">
      <c r="A569" t="s">
        <v>1715</v>
      </c>
      <c r="B569">
        <v>0</v>
      </c>
      <c r="C569" t="s">
        <v>22</v>
      </c>
      <c r="D569" t="s">
        <v>334</v>
      </c>
      <c r="E569" t="s">
        <v>1716</v>
      </c>
      <c r="F569" t="s">
        <v>221</v>
      </c>
      <c r="G569">
        <v>0</v>
      </c>
      <c r="H569">
        <f t="shared" si="16"/>
        <v>3</v>
      </c>
      <c r="I569" s="6">
        <f t="shared" si="17"/>
        <v>0.66666666666666663</v>
      </c>
    </row>
    <row r="570" spans="1:9" x14ac:dyDescent="0.2">
      <c r="A570" t="s">
        <v>1717</v>
      </c>
      <c r="B570">
        <v>9</v>
      </c>
      <c r="C570" t="s">
        <v>22</v>
      </c>
      <c r="D570" t="s">
        <v>1718</v>
      </c>
      <c r="E570" t="s">
        <v>1719</v>
      </c>
      <c r="F570" t="s">
        <v>33</v>
      </c>
      <c r="G570">
        <v>0</v>
      </c>
      <c r="H570">
        <f t="shared" si="16"/>
        <v>4</v>
      </c>
      <c r="I570" s="6">
        <f t="shared" si="17"/>
        <v>0.5</v>
      </c>
    </row>
    <row r="571" spans="1:9" x14ac:dyDescent="0.2">
      <c r="A571" t="s">
        <v>1720</v>
      </c>
      <c r="B571">
        <v>1</v>
      </c>
      <c r="C571" t="s">
        <v>80</v>
      </c>
      <c r="D571" t="s">
        <v>1721</v>
      </c>
      <c r="E571" t="s">
        <v>1722</v>
      </c>
      <c r="F571" t="s">
        <v>54</v>
      </c>
      <c r="G571">
        <v>1</v>
      </c>
      <c r="H571">
        <f t="shared" si="16"/>
        <v>11</v>
      </c>
      <c r="I571" s="6">
        <f t="shared" si="17"/>
        <v>0.63636363636363635</v>
      </c>
    </row>
    <row r="572" spans="1:9" x14ac:dyDescent="0.2">
      <c r="A572" t="s">
        <v>1723</v>
      </c>
      <c r="B572">
        <v>2</v>
      </c>
      <c r="C572" t="s">
        <v>39</v>
      </c>
      <c r="D572" t="s">
        <v>1724</v>
      </c>
      <c r="E572" t="s">
        <v>1725</v>
      </c>
      <c r="F572" t="s">
        <v>72</v>
      </c>
      <c r="G572">
        <v>1</v>
      </c>
      <c r="H572">
        <f t="shared" si="16"/>
        <v>4</v>
      </c>
      <c r="I572" s="6">
        <f t="shared" si="17"/>
        <v>0.5</v>
      </c>
    </row>
    <row r="573" spans="1:9" x14ac:dyDescent="0.2">
      <c r="A573" t="s">
        <v>1726</v>
      </c>
      <c r="B573">
        <v>11</v>
      </c>
      <c r="C573" t="s">
        <v>80</v>
      </c>
      <c r="D573" t="s">
        <v>1727</v>
      </c>
      <c r="E573" t="s">
        <v>1728</v>
      </c>
      <c r="F573" t="s">
        <v>33</v>
      </c>
      <c r="G573">
        <v>0</v>
      </c>
      <c r="H573">
        <f t="shared" si="16"/>
        <v>4</v>
      </c>
      <c r="I573" s="6">
        <f t="shared" si="17"/>
        <v>0.5</v>
      </c>
    </row>
    <row r="574" spans="1:9" x14ac:dyDescent="0.2">
      <c r="A574" t="s">
        <v>1729</v>
      </c>
      <c r="B574">
        <v>8</v>
      </c>
      <c r="C574" t="s">
        <v>39</v>
      </c>
      <c r="D574" t="s">
        <v>1730</v>
      </c>
      <c r="E574" t="s">
        <v>1731</v>
      </c>
      <c r="F574" t="s">
        <v>72</v>
      </c>
      <c r="G574">
        <v>1</v>
      </c>
      <c r="H574">
        <f t="shared" si="16"/>
        <v>4</v>
      </c>
      <c r="I574" s="6">
        <f t="shared" si="17"/>
        <v>0.5</v>
      </c>
    </row>
    <row r="575" spans="1:9" x14ac:dyDescent="0.2">
      <c r="A575" t="s">
        <v>1732</v>
      </c>
      <c r="B575">
        <v>10</v>
      </c>
      <c r="C575" t="s">
        <v>22</v>
      </c>
      <c r="D575" t="s">
        <v>1733</v>
      </c>
      <c r="E575" t="s">
        <v>1734</v>
      </c>
      <c r="F575" t="s">
        <v>72</v>
      </c>
      <c r="G575">
        <v>0</v>
      </c>
      <c r="H575">
        <f t="shared" si="16"/>
        <v>4</v>
      </c>
      <c r="I575" s="6">
        <f t="shared" si="17"/>
        <v>0.5</v>
      </c>
    </row>
    <row r="576" spans="1:9" x14ac:dyDescent="0.2">
      <c r="A576" t="s">
        <v>1735</v>
      </c>
      <c r="B576">
        <v>3</v>
      </c>
      <c r="C576" t="s">
        <v>13</v>
      </c>
      <c r="D576" t="s">
        <v>1736</v>
      </c>
      <c r="E576" t="s">
        <v>1737</v>
      </c>
      <c r="F576" t="s">
        <v>42</v>
      </c>
      <c r="G576">
        <v>1</v>
      </c>
      <c r="H576">
        <f t="shared" si="16"/>
        <v>4</v>
      </c>
      <c r="I576" s="6">
        <f t="shared" si="17"/>
        <v>1</v>
      </c>
    </row>
    <row r="577" spans="1:9" x14ac:dyDescent="0.2">
      <c r="A577" t="s">
        <v>1738</v>
      </c>
      <c r="B577">
        <v>6</v>
      </c>
      <c r="C577" t="s">
        <v>8</v>
      </c>
      <c r="D577" t="s">
        <v>1739</v>
      </c>
      <c r="E577" t="s">
        <v>1740</v>
      </c>
      <c r="F577" t="s">
        <v>72</v>
      </c>
      <c r="G577">
        <v>1</v>
      </c>
      <c r="H577">
        <f t="shared" si="16"/>
        <v>4</v>
      </c>
      <c r="I577" s="6">
        <f t="shared" si="17"/>
        <v>0.5</v>
      </c>
    </row>
    <row r="578" spans="1:9" x14ac:dyDescent="0.2">
      <c r="A578" t="s">
        <v>1741</v>
      </c>
      <c r="B578">
        <v>0</v>
      </c>
      <c r="C578" t="s">
        <v>8</v>
      </c>
      <c r="D578" t="s">
        <v>1742</v>
      </c>
      <c r="E578" t="s">
        <v>1743</v>
      </c>
      <c r="F578" t="s">
        <v>58</v>
      </c>
      <c r="G578">
        <v>1</v>
      </c>
      <c r="H578">
        <f t="shared" ref="H578:H641" si="18">COUNTIF($F$2:$F$100, F578)</f>
        <v>2</v>
      </c>
      <c r="I578" s="6">
        <f t="shared" ref="I578:I641" si="19">SUMIFS($G$2:$G$100, $F$2:$F$100, F578) / COUNTIF($F$2:$F$100, F578)</f>
        <v>1</v>
      </c>
    </row>
    <row r="579" spans="1:9" x14ac:dyDescent="0.2">
      <c r="A579" t="s">
        <v>1744</v>
      </c>
      <c r="B579">
        <v>5</v>
      </c>
      <c r="C579" t="s">
        <v>80</v>
      </c>
      <c r="D579" t="s">
        <v>1745</v>
      </c>
      <c r="E579" t="s">
        <v>1746</v>
      </c>
      <c r="F579" t="s">
        <v>58</v>
      </c>
      <c r="G579">
        <v>1</v>
      </c>
      <c r="H579">
        <f t="shared" si="18"/>
        <v>2</v>
      </c>
      <c r="I579" s="6">
        <f t="shared" si="19"/>
        <v>1</v>
      </c>
    </row>
    <row r="580" spans="1:9" x14ac:dyDescent="0.2">
      <c r="A580" t="s">
        <v>1747</v>
      </c>
      <c r="B580">
        <v>3</v>
      </c>
      <c r="C580" t="s">
        <v>80</v>
      </c>
      <c r="D580" t="s">
        <v>1748</v>
      </c>
      <c r="E580" t="s">
        <v>1749</v>
      </c>
      <c r="F580" t="s">
        <v>33</v>
      </c>
      <c r="G580">
        <v>0</v>
      </c>
      <c r="H580">
        <f t="shared" si="18"/>
        <v>4</v>
      </c>
      <c r="I580" s="6">
        <f t="shared" si="19"/>
        <v>0.5</v>
      </c>
    </row>
    <row r="581" spans="1:9" x14ac:dyDescent="0.2">
      <c r="A581" t="s">
        <v>1750</v>
      </c>
      <c r="B581">
        <v>0</v>
      </c>
      <c r="C581" t="s">
        <v>80</v>
      </c>
      <c r="D581" t="s">
        <v>1751</v>
      </c>
      <c r="E581" t="s">
        <v>1752</v>
      </c>
      <c r="F581" t="s">
        <v>46</v>
      </c>
      <c r="G581">
        <v>1</v>
      </c>
      <c r="H581">
        <f t="shared" si="18"/>
        <v>3</v>
      </c>
      <c r="I581" s="6">
        <f t="shared" si="19"/>
        <v>0.66666666666666663</v>
      </c>
    </row>
    <row r="582" spans="1:9" x14ac:dyDescent="0.2">
      <c r="A582" t="s">
        <v>1753</v>
      </c>
      <c r="B582">
        <v>0</v>
      </c>
      <c r="C582" t="s">
        <v>13</v>
      </c>
      <c r="D582" t="s">
        <v>1754</v>
      </c>
      <c r="E582" t="s">
        <v>1755</v>
      </c>
      <c r="F582" t="s">
        <v>16</v>
      </c>
      <c r="G582">
        <v>1</v>
      </c>
      <c r="H582">
        <f t="shared" si="18"/>
        <v>5</v>
      </c>
      <c r="I582" s="6">
        <f t="shared" si="19"/>
        <v>0.6</v>
      </c>
    </row>
    <row r="583" spans="1:9" x14ac:dyDescent="0.2">
      <c r="A583" t="s">
        <v>1756</v>
      </c>
      <c r="B583">
        <v>3</v>
      </c>
      <c r="C583" t="s">
        <v>22</v>
      </c>
      <c r="D583" t="s">
        <v>1757</v>
      </c>
      <c r="E583" t="s">
        <v>1758</v>
      </c>
      <c r="F583" t="s">
        <v>37</v>
      </c>
      <c r="G583">
        <v>0</v>
      </c>
      <c r="H583">
        <f t="shared" si="18"/>
        <v>8</v>
      </c>
      <c r="I583" s="6">
        <f t="shared" si="19"/>
        <v>0.625</v>
      </c>
    </row>
    <row r="584" spans="1:9" x14ac:dyDescent="0.2">
      <c r="A584" t="s">
        <v>1759</v>
      </c>
      <c r="B584">
        <v>3</v>
      </c>
      <c r="C584" t="s">
        <v>80</v>
      </c>
      <c r="D584" t="s">
        <v>1760</v>
      </c>
      <c r="E584" t="s">
        <v>1761</v>
      </c>
      <c r="F584" t="s">
        <v>108</v>
      </c>
      <c r="G584">
        <v>0</v>
      </c>
      <c r="H584">
        <f t="shared" si="18"/>
        <v>2</v>
      </c>
      <c r="I584" s="6">
        <f t="shared" si="19"/>
        <v>1</v>
      </c>
    </row>
    <row r="585" spans="1:9" x14ac:dyDescent="0.2">
      <c r="A585" t="s">
        <v>1762</v>
      </c>
      <c r="B585">
        <v>3</v>
      </c>
      <c r="C585" t="s">
        <v>80</v>
      </c>
      <c r="D585" t="s">
        <v>1763</v>
      </c>
      <c r="E585" t="s">
        <v>1764</v>
      </c>
      <c r="F585" t="s">
        <v>104</v>
      </c>
      <c r="G585">
        <v>1</v>
      </c>
      <c r="H585">
        <f t="shared" si="18"/>
        <v>4</v>
      </c>
      <c r="I585" s="6">
        <f t="shared" si="19"/>
        <v>0.25</v>
      </c>
    </row>
    <row r="586" spans="1:9" x14ac:dyDescent="0.2">
      <c r="A586" t="s">
        <v>1765</v>
      </c>
      <c r="B586">
        <v>6</v>
      </c>
      <c r="C586" t="s">
        <v>22</v>
      </c>
      <c r="D586" t="s">
        <v>1766</v>
      </c>
      <c r="E586" t="s">
        <v>1767</v>
      </c>
      <c r="F586" t="s">
        <v>42</v>
      </c>
      <c r="G586">
        <v>1</v>
      </c>
      <c r="H586">
        <f t="shared" si="18"/>
        <v>4</v>
      </c>
      <c r="I586" s="6">
        <f t="shared" si="19"/>
        <v>1</v>
      </c>
    </row>
    <row r="587" spans="1:9" x14ac:dyDescent="0.2">
      <c r="A587" t="s">
        <v>1768</v>
      </c>
      <c r="B587">
        <v>1</v>
      </c>
      <c r="C587" t="s">
        <v>8</v>
      </c>
      <c r="D587" t="s">
        <v>1769</v>
      </c>
      <c r="E587" t="s">
        <v>1770</v>
      </c>
      <c r="F587" t="s">
        <v>58</v>
      </c>
      <c r="G587">
        <v>1</v>
      </c>
      <c r="H587">
        <f t="shared" si="18"/>
        <v>2</v>
      </c>
      <c r="I587" s="6">
        <f t="shared" si="19"/>
        <v>1</v>
      </c>
    </row>
    <row r="588" spans="1:9" x14ac:dyDescent="0.2">
      <c r="A588" t="s">
        <v>1771</v>
      </c>
      <c r="B588">
        <v>10</v>
      </c>
      <c r="C588" t="s">
        <v>39</v>
      </c>
      <c r="D588" t="s">
        <v>1772</v>
      </c>
      <c r="E588" t="s">
        <v>1773</v>
      </c>
      <c r="F588" t="s">
        <v>11</v>
      </c>
      <c r="G588">
        <v>1</v>
      </c>
      <c r="H588">
        <f t="shared" si="18"/>
        <v>4</v>
      </c>
      <c r="I588" s="6">
        <f t="shared" si="19"/>
        <v>0.5</v>
      </c>
    </row>
    <row r="589" spans="1:9" x14ac:dyDescent="0.2">
      <c r="A589" t="s">
        <v>1774</v>
      </c>
      <c r="B589">
        <v>2</v>
      </c>
      <c r="C589" t="s">
        <v>39</v>
      </c>
      <c r="D589" t="s">
        <v>1775</v>
      </c>
      <c r="E589" t="s">
        <v>1776</v>
      </c>
      <c r="F589" t="s">
        <v>72</v>
      </c>
      <c r="G589">
        <v>1</v>
      </c>
      <c r="H589">
        <f t="shared" si="18"/>
        <v>4</v>
      </c>
      <c r="I589" s="6">
        <f t="shared" si="19"/>
        <v>0.5</v>
      </c>
    </row>
    <row r="590" spans="1:9" x14ac:dyDescent="0.2">
      <c r="A590" t="s">
        <v>1777</v>
      </c>
      <c r="B590">
        <v>1</v>
      </c>
      <c r="C590" t="s">
        <v>39</v>
      </c>
      <c r="D590" t="s">
        <v>1778</v>
      </c>
      <c r="E590" t="s">
        <v>1779</v>
      </c>
      <c r="F590" t="s">
        <v>142</v>
      </c>
      <c r="G590">
        <v>1</v>
      </c>
      <c r="H590">
        <f t="shared" si="18"/>
        <v>5</v>
      </c>
      <c r="I590" s="6">
        <f t="shared" si="19"/>
        <v>0.4</v>
      </c>
    </row>
    <row r="591" spans="1:9" x14ac:dyDescent="0.2">
      <c r="A591" t="s">
        <v>1780</v>
      </c>
      <c r="B591">
        <v>0</v>
      </c>
      <c r="C591" t="s">
        <v>8</v>
      </c>
      <c r="D591" t="s">
        <v>1781</v>
      </c>
      <c r="E591" t="s">
        <v>1782</v>
      </c>
      <c r="F591" t="s">
        <v>58</v>
      </c>
      <c r="G591">
        <v>1</v>
      </c>
      <c r="H591">
        <f t="shared" si="18"/>
        <v>2</v>
      </c>
      <c r="I591" s="6">
        <f t="shared" si="19"/>
        <v>1</v>
      </c>
    </row>
    <row r="592" spans="1:9" x14ac:dyDescent="0.2">
      <c r="A592" t="s">
        <v>1783</v>
      </c>
      <c r="B592">
        <v>0</v>
      </c>
      <c r="C592" t="s">
        <v>22</v>
      </c>
      <c r="D592" t="s">
        <v>1784</v>
      </c>
      <c r="E592" t="s">
        <v>1785</v>
      </c>
      <c r="F592" t="s">
        <v>108</v>
      </c>
      <c r="G592">
        <v>0</v>
      </c>
      <c r="H592">
        <f t="shared" si="18"/>
        <v>2</v>
      </c>
      <c r="I592" s="6">
        <f t="shared" si="19"/>
        <v>1</v>
      </c>
    </row>
    <row r="593" spans="1:9" x14ac:dyDescent="0.2">
      <c r="A593" t="s">
        <v>1786</v>
      </c>
      <c r="B593">
        <v>9</v>
      </c>
      <c r="C593" t="s">
        <v>13</v>
      </c>
      <c r="D593" t="s">
        <v>1787</v>
      </c>
      <c r="E593" t="s">
        <v>1788</v>
      </c>
      <c r="F593" t="s">
        <v>72</v>
      </c>
      <c r="G593">
        <v>1</v>
      </c>
      <c r="H593">
        <f t="shared" si="18"/>
        <v>4</v>
      </c>
      <c r="I593" s="6">
        <f t="shared" si="19"/>
        <v>0.5</v>
      </c>
    </row>
    <row r="594" spans="1:9" x14ac:dyDescent="0.2">
      <c r="A594" t="s">
        <v>1789</v>
      </c>
      <c r="B594">
        <v>0</v>
      </c>
      <c r="C594" t="s">
        <v>22</v>
      </c>
      <c r="D594" t="s">
        <v>1790</v>
      </c>
      <c r="E594" t="s">
        <v>1791</v>
      </c>
      <c r="F594" t="s">
        <v>194</v>
      </c>
      <c r="G594">
        <v>0</v>
      </c>
      <c r="H594">
        <f t="shared" si="18"/>
        <v>3</v>
      </c>
      <c r="I594" s="6">
        <f t="shared" si="19"/>
        <v>1</v>
      </c>
    </row>
    <row r="595" spans="1:9" x14ac:dyDescent="0.2">
      <c r="A595" t="s">
        <v>1792</v>
      </c>
      <c r="B595">
        <v>1</v>
      </c>
      <c r="C595" t="s">
        <v>13</v>
      </c>
      <c r="D595" t="s">
        <v>1793</v>
      </c>
      <c r="E595" t="s">
        <v>1794</v>
      </c>
      <c r="F595" t="s">
        <v>37</v>
      </c>
      <c r="G595">
        <v>1</v>
      </c>
      <c r="H595">
        <f t="shared" si="18"/>
        <v>8</v>
      </c>
      <c r="I595" s="6">
        <f t="shared" si="19"/>
        <v>0.625</v>
      </c>
    </row>
    <row r="596" spans="1:9" x14ac:dyDescent="0.2">
      <c r="A596" t="s">
        <v>1795</v>
      </c>
      <c r="B596">
        <v>3</v>
      </c>
      <c r="C596" t="s">
        <v>39</v>
      </c>
      <c r="D596" t="s">
        <v>1796</v>
      </c>
      <c r="E596" t="s">
        <v>1797</v>
      </c>
      <c r="F596" t="s">
        <v>42</v>
      </c>
      <c r="G596">
        <v>0</v>
      </c>
      <c r="H596">
        <f t="shared" si="18"/>
        <v>4</v>
      </c>
      <c r="I596" s="6">
        <f t="shared" si="19"/>
        <v>1</v>
      </c>
    </row>
    <row r="597" spans="1:9" x14ac:dyDescent="0.2">
      <c r="A597" t="s">
        <v>1798</v>
      </c>
      <c r="B597">
        <v>1</v>
      </c>
      <c r="C597" t="s">
        <v>13</v>
      </c>
      <c r="D597" t="s">
        <v>1799</v>
      </c>
      <c r="E597" t="s">
        <v>1800</v>
      </c>
      <c r="F597" t="s">
        <v>207</v>
      </c>
      <c r="G597">
        <v>1</v>
      </c>
      <c r="H597">
        <f t="shared" si="18"/>
        <v>3</v>
      </c>
      <c r="I597" s="6">
        <f t="shared" si="19"/>
        <v>1</v>
      </c>
    </row>
    <row r="598" spans="1:9" x14ac:dyDescent="0.2">
      <c r="A598" t="s">
        <v>1801</v>
      </c>
      <c r="B598">
        <v>9</v>
      </c>
      <c r="C598" t="s">
        <v>22</v>
      </c>
      <c r="D598" t="s">
        <v>1802</v>
      </c>
      <c r="E598" t="s">
        <v>1803</v>
      </c>
      <c r="F598" t="s">
        <v>194</v>
      </c>
      <c r="G598">
        <v>0</v>
      </c>
      <c r="H598">
        <f t="shared" si="18"/>
        <v>3</v>
      </c>
      <c r="I598" s="6">
        <f t="shared" si="19"/>
        <v>1</v>
      </c>
    </row>
    <row r="599" spans="1:9" x14ac:dyDescent="0.2">
      <c r="A599" t="s">
        <v>1804</v>
      </c>
      <c r="B599">
        <v>8</v>
      </c>
      <c r="C599" t="s">
        <v>13</v>
      </c>
      <c r="D599" t="s">
        <v>1805</v>
      </c>
      <c r="E599" t="s">
        <v>1806</v>
      </c>
      <c r="F599" t="s">
        <v>50</v>
      </c>
      <c r="G599">
        <v>1</v>
      </c>
      <c r="H599">
        <f t="shared" si="18"/>
        <v>2</v>
      </c>
      <c r="I599" s="6">
        <f t="shared" si="19"/>
        <v>0.5</v>
      </c>
    </row>
    <row r="600" spans="1:9" x14ac:dyDescent="0.2">
      <c r="A600" t="s">
        <v>1807</v>
      </c>
      <c r="B600">
        <v>8</v>
      </c>
      <c r="C600" t="s">
        <v>13</v>
      </c>
      <c r="D600" t="s">
        <v>1808</v>
      </c>
      <c r="E600" t="s">
        <v>1809</v>
      </c>
      <c r="F600" t="s">
        <v>104</v>
      </c>
      <c r="G600">
        <v>0</v>
      </c>
      <c r="H600">
        <f t="shared" si="18"/>
        <v>4</v>
      </c>
      <c r="I600" s="6">
        <f t="shared" si="19"/>
        <v>0.25</v>
      </c>
    </row>
    <row r="601" spans="1:9" x14ac:dyDescent="0.2">
      <c r="A601" t="s">
        <v>1810</v>
      </c>
      <c r="B601">
        <v>7</v>
      </c>
      <c r="C601" t="s">
        <v>13</v>
      </c>
      <c r="D601" t="s">
        <v>1811</v>
      </c>
      <c r="E601" t="s">
        <v>1812</v>
      </c>
      <c r="F601" t="s">
        <v>46</v>
      </c>
      <c r="G601">
        <v>0</v>
      </c>
      <c r="H601">
        <f t="shared" si="18"/>
        <v>3</v>
      </c>
      <c r="I601" s="6">
        <f t="shared" si="19"/>
        <v>0.66666666666666663</v>
      </c>
    </row>
    <row r="602" spans="1:9" x14ac:dyDescent="0.2">
      <c r="A602" t="s">
        <v>1813</v>
      </c>
      <c r="B602">
        <v>4</v>
      </c>
      <c r="C602" t="s">
        <v>13</v>
      </c>
      <c r="D602" t="s">
        <v>1814</v>
      </c>
      <c r="E602" t="s">
        <v>1815</v>
      </c>
      <c r="F602" t="s">
        <v>37</v>
      </c>
      <c r="G602">
        <v>1</v>
      </c>
      <c r="H602">
        <f t="shared" si="18"/>
        <v>8</v>
      </c>
      <c r="I602" s="6">
        <f t="shared" si="19"/>
        <v>0.625</v>
      </c>
    </row>
    <row r="603" spans="1:9" x14ac:dyDescent="0.2">
      <c r="A603" t="s">
        <v>1816</v>
      </c>
      <c r="B603">
        <v>1</v>
      </c>
      <c r="C603" t="s">
        <v>13</v>
      </c>
      <c r="D603" t="s">
        <v>1817</v>
      </c>
      <c r="E603" t="s">
        <v>1818</v>
      </c>
      <c r="F603" t="s">
        <v>46</v>
      </c>
      <c r="G603">
        <v>1</v>
      </c>
      <c r="H603">
        <f t="shared" si="18"/>
        <v>3</v>
      </c>
      <c r="I603" s="6">
        <f t="shared" si="19"/>
        <v>0.66666666666666663</v>
      </c>
    </row>
    <row r="604" spans="1:9" x14ac:dyDescent="0.2">
      <c r="A604" t="s">
        <v>1819</v>
      </c>
      <c r="B604">
        <v>7</v>
      </c>
      <c r="C604" t="s">
        <v>13</v>
      </c>
      <c r="D604" t="s">
        <v>1820</v>
      </c>
      <c r="E604" t="s">
        <v>1821</v>
      </c>
      <c r="F604" t="s">
        <v>50</v>
      </c>
      <c r="G604">
        <v>0</v>
      </c>
      <c r="H604">
        <f t="shared" si="18"/>
        <v>2</v>
      </c>
      <c r="I604" s="6">
        <f t="shared" si="19"/>
        <v>0.5</v>
      </c>
    </row>
    <row r="605" spans="1:9" x14ac:dyDescent="0.2">
      <c r="A605" t="s">
        <v>1822</v>
      </c>
      <c r="B605">
        <v>5</v>
      </c>
      <c r="C605" t="s">
        <v>39</v>
      </c>
      <c r="D605" t="s">
        <v>1823</v>
      </c>
      <c r="E605" t="s">
        <v>1824</v>
      </c>
      <c r="F605" t="s">
        <v>142</v>
      </c>
      <c r="G605">
        <v>1</v>
      </c>
      <c r="H605">
        <f t="shared" si="18"/>
        <v>5</v>
      </c>
      <c r="I605" s="6">
        <f t="shared" si="19"/>
        <v>0.4</v>
      </c>
    </row>
    <row r="606" spans="1:9" x14ac:dyDescent="0.2">
      <c r="A606" t="s">
        <v>1825</v>
      </c>
      <c r="B606">
        <v>3</v>
      </c>
      <c r="C606" t="s">
        <v>22</v>
      </c>
      <c r="D606" t="s">
        <v>1826</v>
      </c>
      <c r="E606" t="s">
        <v>1827</v>
      </c>
      <c r="F606" t="s">
        <v>194</v>
      </c>
      <c r="G606">
        <v>0</v>
      </c>
      <c r="H606">
        <f t="shared" si="18"/>
        <v>3</v>
      </c>
      <c r="I606" s="6">
        <f t="shared" si="19"/>
        <v>1</v>
      </c>
    </row>
    <row r="607" spans="1:9" x14ac:dyDescent="0.2">
      <c r="A607" t="s">
        <v>1828</v>
      </c>
      <c r="B607">
        <v>0</v>
      </c>
      <c r="C607" t="s">
        <v>8</v>
      </c>
      <c r="D607" t="s">
        <v>742</v>
      </c>
      <c r="E607" t="s">
        <v>1829</v>
      </c>
      <c r="F607" t="s">
        <v>42</v>
      </c>
      <c r="G607">
        <v>1</v>
      </c>
      <c r="H607">
        <f t="shared" si="18"/>
        <v>4</v>
      </c>
      <c r="I607" s="6">
        <f t="shared" si="19"/>
        <v>1</v>
      </c>
    </row>
    <row r="608" spans="1:9" x14ac:dyDescent="0.2">
      <c r="A608" t="s">
        <v>1830</v>
      </c>
      <c r="B608">
        <v>1</v>
      </c>
      <c r="C608" t="s">
        <v>22</v>
      </c>
      <c r="D608" t="s">
        <v>1831</v>
      </c>
      <c r="E608" t="s">
        <v>1832</v>
      </c>
      <c r="F608" t="s">
        <v>194</v>
      </c>
      <c r="G608">
        <v>1</v>
      </c>
      <c r="H608">
        <f t="shared" si="18"/>
        <v>3</v>
      </c>
      <c r="I608" s="6">
        <f t="shared" si="19"/>
        <v>1</v>
      </c>
    </row>
    <row r="609" spans="1:9" x14ac:dyDescent="0.2">
      <c r="A609" t="s">
        <v>1833</v>
      </c>
      <c r="B609">
        <v>3</v>
      </c>
      <c r="C609" t="s">
        <v>8</v>
      </c>
      <c r="D609" t="s">
        <v>1834</v>
      </c>
      <c r="E609" t="s">
        <v>1835</v>
      </c>
      <c r="F609" t="s">
        <v>58</v>
      </c>
      <c r="G609">
        <v>1</v>
      </c>
      <c r="H609">
        <f t="shared" si="18"/>
        <v>2</v>
      </c>
      <c r="I609" s="6">
        <f t="shared" si="19"/>
        <v>1</v>
      </c>
    </row>
    <row r="610" spans="1:9" x14ac:dyDescent="0.2">
      <c r="A610" t="s">
        <v>1836</v>
      </c>
      <c r="B610">
        <v>0</v>
      </c>
      <c r="C610" t="s">
        <v>22</v>
      </c>
      <c r="D610" t="s">
        <v>1837</v>
      </c>
      <c r="E610" t="s">
        <v>1838</v>
      </c>
      <c r="F610" t="s">
        <v>37</v>
      </c>
      <c r="G610">
        <v>1</v>
      </c>
      <c r="H610">
        <f t="shared" si="18"/>
        <v>8</v>
      </c>
      <c r="I610" s="6">
        <f t="shared" si="19"/>
        <v>0.625</v>
      </c>
    </row>
    <row r="611" spans="1:9" x14ac:dyDescent="0.2">
      <c r="A611" t="s">
        <v>1839</v>
      </c>
      <c r="B611">
        <v>4</v>
      </c>
      <c r="C611" t="s">
        <v>8</v>
      </c>
      <c r="D611" t="s">
        <v>1840</v>
      </c>
      <c r="E611" t="s">
        <v>1841</v>
      </c>
      <c r="F611" t="s">
        <v>62</v>
      </c>
      <c r="G611">
        <v>1</v>
      </c>
      <c r="H611">
        <f t="shared" si="18"/>
        <v>6</v>
      </c>
      <c r="I611" s="6">
        <f t="shared" si="19"/>
        <v>0.5</v>
      </c>
    </row>
    <row r="612" spans="1:9" x14ac:dyDescent="0.2">
      <c r="A612" t="s">
        <v>1842</v>
      </c>
      <c r="B612">
        <v>7</v>
      </c>
      <c r="C612" t="s">
        <v>80</v>
      </c>
      <c r="D612" t="s">
        <v>1843</v>
      </c>
      <c r="E612" t="s">
        <v>1844</v>
      </c>
      <c r="F612" t="s">
        <v>54</v>
      </c>
      <c r="G612">
        <v>1</v>
      </c>
      <c r="H612">
        <f t="shared" si="18"/>
        <v>11</v>
      </c>
      <c r="I612" s="6">
        <f t="shared" si="19"/>
        <v>0.63636363636363635</v>
      </c>
    </row>
    <row r="613" spans="1:9" x14ac:dyDescent="0.2">
      <c r="A613" t="s">
        <v>1845</v>
      </c>
      <c r="B613">
        <v>1</v>
      </c>
      <c r="C613" t="s">
        <v>22</v>
      </c>
      <c r="D613" t="s">
        <v>1846</v>
      </c>
      <c r="E613" t="s">
        <v>1847</v>
      </c>
      <c r="F613" t="s">
        <v>37</v>
      </c>
      <c r="G613">
        <v>1</v>
      </c>
      <c r="H613">
        <f t="shared" si="18"/>
        <v>8</v>
      </c>
      <c r="I613" s="6">
        <f t="shared" si="19"/>
        <v>0.625</v>
      </c>
    </row>
    <row r="614" spans="1:9" x14ac:dyDescent="0.2">
      <c r="A614" t="s">
        <v>1848</v>
      </c>
      <c r="B614">
        <v>6</v>
      </c>
      <c r="C614" t="s">
        <v>13</v>
      </c>
      <c r="D614" t="s">
        <v>1849</v>
      </c>
      <c r="E614" t="s">
        <v>1850</v>
      </c>
      <c r="F614" t="s">
        <v>33</v>
      </c>
      <c r="G614">
        <v>0</v>
      </c>
      <c r="H614">
        <f t="shared" si="18"/>
        <v>4</v>
      </c>
      <c r="I614" s="6">
        <f t="shared" si="19"/>
        <v>0.5</v>
      </c>
    </row>
    <row r="615" spans="1:9" x14ac:dyDescent="0.2">
      <c r="A615" t="s">
        <v>1851</v>
      </c>
      <c r="B615">
        <v>6</v>
      </c>
      <c r="C615" t="s">
        <v>80</v>
      </c>
      <c r="D615" t="s">
        <v>1852</v>
      </c>
      <c r="E615" t="s">
        <v>1853</v>
      </c>
      <c r="F615" t="s">
        <v>72</v>
      </c>
      <c r="G615">
        <v>1</v>
      </c>
      <c r="H615">
        <f t="shared" si="18"/>
        <v>4</v>
      </c>
      <c r="I615" s="6">
        <f t="shared" si="19"/>
        <v>0.5</v>
      </c>
    </row>
    <row r="616" spans="1:9" x14ac:dyDescent="0.2">
      <c r="A616" t="s">
        <v>1854</v>
      </c>
      <c r="B616">
        <v>9</v>
      </c>
      <c r="C616" t="s">
        <v>8</v>
      </c>
      <c r="D616" t="s">
        <v>1855</v>
      </c>
      <c r="E616" t="s">
        <v>1856</v>
      </c>
      <c r="F616" t="s">
        <v>207</v>
      </c>
      <c r="G616">
        <v>1</v>
      </c>
      <c r="H616">
        <f t="shared" si="18"/>
        <v>3</v>
      </c>
      <c r="I616" s="6">
        <f t="shared" si="19"/>
        <v>1</v>
      </c>
    </row>
    <row r="617" spans="1:9" x14ac:dyDescent="0.2">
      <c r="A617" t="s">
        <v>1857</v>
      </c>
      <c r="B617">
        <v>1</v>
      </c>
      <c r="C617" t="s">
        <v>13</v>
      </c>
      <c r="D617" t="s">
        <v>1858</v>
      </c>
      <c r="E617" t="s">
        <v>451</v>
      </c>
      <c r="F617" t="s">
        <v>194</v>
      </c>
      <c r="G617">
        <v>1</v>
      </c>
      <c r="H617">
        <f t="shared" si="18"/>
        <v>3</v>
      </c>
      <c r="I617" s="6">
        <f t="shared" si="19"/>
        <v>1</v>
      </c>
    </row>
    <row r="618" spans="1:9" x14ac:dyDescent="0.2">
      <c r="A618" t="s">
        <v>1859</v>
      </c>
      <c r="B618">
        <v>6</v>
      </c>
      <c r="C618" t="s">
        <v>13</v>
      </c>
      <c r="D618" t="s">
        <v>1579</v>
      </c>
      <c r="E618" t="s">
        <v>1860</v>
      </c>
      <c r="F618" t="s">
        <v>50</v>
      </c>
      <c r="G618">
        <v>0</v>
      </c>
      <c r="H618">
        <f t="shared" si="18"/>
        <v>2</v>
      </c>
      <c r="I618" s="6">
        <f t="shared" si="19"/>
        <v>0.5</v>
      </c>
    </row>
    <row r="619" spans="1:9" x14ac:dyDescent="0.2">
      <c r="A619" t="s">
        <v>1861</v>
      </c>
      <c r="B619">
        <v>4</v>
      </c>
      <c r="C619" t="s">
        <v>39</v>
      </c>
      <c r="D619" t="s">
        <v>1862</v>
      </c>
      <c r="E619" t="s">
        <v>1863</v>
      </c>
      <c r="F619" t="s">
        <v>16</v>
      </c>
      <c r="G619">
        <v>1</v>
      </c>
      <c r="H619">
        <f t="shared" si="18"/>
        <v>5</v>
      </c>
      <c r="I619" s="6">
        <f t="shared" si="19"/>
        <v>0.6</v>
      </c>
    </row>
    <row r="620" spans="1:9" x14ac:dyDescent="0.2">
      <c r="A620" t="s">
        <v>1864</v>
      </c>
      <c r="B620">
        <v>5</v>
      </c>
      <c r="C620" t="s">
        <v>39</v>
      </c>
      <c r="D620" t="s">
        <v>1865</v>
      </c>
      <c r="E620" t="s">
        <v>1866</v>
      </c>
      <c r="F620" t="s">
        <v>20</v>
      </c>
      <c r="G620">
        <v>1</v>
      </c>
      <c r="H620">
        <f t="shared" si="18"/>
        <v>8</v>
      </c>
      <c r="I620" s="6">
        <f t="shared" si="19"/>
        <v>0.5</v>
      </c>
    </row>
    <row r="621" spans="1:9" x14ac:dyDescent="0.2">
      <c r="A621" t="s">
        <v>1867</v>
      </c>
      <c r="B621">
        <v>1</v>
      </c>
      <c r="C621" t="s">
        <v>13</v>
      </c>
      <c r="D621" t="s">
        <v>1868</v>
      </c>
      <c r="E621" t="s">
        <v>1869</v>
      </c>
      <c r="F621" t="s">
        <v>207</v>
      </c>
      <c r="G621">
        <v>1</v>
      </c>
      <c r="H621">
        <f t="shared" si="18"/>
        <v>3</v>
      </c>
      <c r="I621" s="6">
        <f t="shared" si="19"/>
        <v>1</v>
      </c>
    </row>
    <row r="622" spans="1:9" x14ac:dyDescent="0.2">
      <c r="A622" t="s">
        <v>1870</v>
      </c>
      <c r="B622">
        <v>9</v>
      </c>
      <c r="C622" t="s">
        <v>80</v>
      </c>
      <c r="D622" t="s">
        <v>1871</v>
      </c>
      <c r="E622" t="s">
        <v>1872</v>
      </c>
      <c r="F622" t="s">
        <v>29</v>
      </c>
      <c r="G622">
        <v>1</v>
      </c>
      <c r="H622">
        <f t="shared" si="18"/>
        <v>8</v>
      </c>
      <c r="I622" s="6">
        <f t="shared" si="19"/>
        <v>0.875</v>
      </c>
    </row>
    <row r="623" spans="1:9" x14ac:dyDescent="0.2">
      <c r="A623" t="s">
        <v>1873</v>
      </c>
      <c r="B623">
        <v>0</v>
      </c>
      <c r="C623" t="s">
        <v>13</v>
      </c>
      <c r="D623" t="s">
        <v>1874</v>
      </c>
      <c r="E623" t="s">
        <v>1875</v>
      </c>
      <c r="F623" t="s">
        <v>16</v>
      </c>
      <c r="G623">
        <v>1</v>
      </c>
      <c r="H623">
        <f t="shared" si="18"/>
        <v>5</v>
      </c>
      <c r="I623" s="6">
        <f t="shared" si="19"/>
        <v>0.6</v>
      </c>
    </row>
    <row r="624" spans="1:9" x14ac:dyDescent="0.2">
      <c r="A624" t="s">
        <v>1876</v>
      </c>
      <c r="B624">
        <v>0</v>
      </c>
      <c r="C624" t="s">
        <v>13</v>
      </c>
      <c r="D624" t="s">
        <v>1877</v>
      </c>
      <c r="E624" t="s">
        <v>1878</v>
      </c>
      <c r="F624" t="s">
        <v>16</v>
      </c>
      <c r="G624">
        <v>1</v>
      </c>
      <c r="H624">
        <f t="shared" si="18"/>
        <v>5</v>
      </c>
      <c r="I624" s="6">
        <f t="shared" si="19"/>
        <v>0.6</v>
      </c>
    </row>
    <row r="625" spans="1:9" x14ac:dyDescent="0.2">
      <c r="A625" t="s">
        <v>1879</v>
      </c>
      <c r="B625">
        <v>5</v>
      </c>
      <c r="C625" t="s">
        <v>8</v>
      </c>
      <c r="D625" t="s">
        <v>1880</v>
      </c>
      <c r="E625" t="s">
        <v>1881</v>
      </c>
      <c r="F625" t="s">
        <v>207</v>
      </c>
      <c r="G625">
        <v>1</v>
      </c>
      <c r="H625">
        <f t="shared" si="18"/>
        <v>3</v>
      </c>
      <c r="I625" s="6">
        <f t="shared" si="19"/>
        <v>1</v>
      </c>
    </row>
    <row r="626" spans="1:9" x14ac:dyDescent="0.2">
      <c r="A626" t="s">
        <v>1882</v>
      </c>
      <c r="B626">
        <v>0</v>
      </c>
      <c r="C626" t="s">
        <v>80</v>
      </c>
      <c r="D626" t="s">
        <v>1883</v>
      </c>
      <c r="E626" t="s">
        <v>1884</v>
      </c>
      <c r="F626" t="s">
        <v>46</v>
      </c>
      <c r="G626">
        <v>0</v>
      </c>
      <c r="H626">
        <f t="shared" si="18"/>
        <v>3</v>
      </c>
      <c r="I626" s="6">
        <f t="shared" si="19"/>
        <v>0.66666666666666663</v>
      </c>
    </row>
    <row r="627" spans="1:9" x14ac:dyDescent="0.2">
      <c r="A627" t="s">
        <v>1885</v>
      </c>
      <c r="B627">
        <v>9</v>
      </c>
      <c r="C627" t="s">
        <v>39</v>
      </c>
      <c r="D627" t="s">
        <v>1886</v>
      </c>
      <c r="E627" t="s">
        <v>1887</v>
      </c>
      <c r="F627" t="s">
        <v>108</v>
      </c>
      <c r="G627">
        <v>1</v>
      </c>
      <c r="H627">
        <f t="shared" si="18"/>
        <v>2</v>
      </c>
      <c r="I627" s="6">
        <f t="shared" si="19"/>
        <v>1</v>
      </c>
    </row>
    <row r="628" spans="1:9" x14ac:dyDescent="0.2">
      <c r="A628" t="s">
        <v>1888</v>
      </c>
      <c r="B628">
        <v>7</v>
      </c>
      <c r="C628" t="s">
        <v>80</v>
      </c>
      <c r="D628" t="s">
        <v>1889</v>
      </c>
      <c r="E628" t="s">
        <v>1890</v>
      </c>
      <c r="F628" t="s">
        <v>25</v>
      </c>
      <c r="G628">
        <v>1</v>
      </c>
      <c r="H628">
        <f t="shared" si="18"/>
        <v>7</v>
      </c>
      <c r="I628" s="6">
        <f t="shared" si="19"/>
        <v>0.7142857142857143</v>
      </c>
    </row>
    <row r="629" spans="1:9" x14ac:dyDescent="0.2">
      <c r="A629" t="s">
        <v>1891</v>
      </c>
      <c r="B629">
        <v>7</v>
      </c>
      <c r="C629" t="s">
        <v>39</v>
      </c>
      <c r="D629" t="s">
        <v>1892</v>
      </c>
      <c r="E629" t="s">
        <v>1893</v>
      </c>
      <c r="F629" t="s">
        <v>142</v>
      </c>
      <c r="G629">
        <v>1</v>
      </c>
      <c r="H629">
        <f t="shared" si="18"/>
        <v>5</v>
      </c>
      <c r="I629" s="6">
        <f t="shared" si="19"/>
        <v>0.4</v>
      </c>
    </row>
    <row r="630" spans="1:9" x14ac:dyDescent="0.2">
      <c r="A630" t="s">
        <v>1894</v>
      </c>
      <c r="B630">
        <v>5</v>
      </c>
      <c r="C630" t="s">
        <v>22</v>
      </c>
      <c r="D630" t="s">
        <v>1895</v>
      </c>
      <c r="E630" t="s">
        <v>1896</v>
      </c>
      <c r="F630" t="s">
        <v>25</v>
      </c>
      <c r="G630">
        <v>1</v>
      </c>
      <c r="H630">
        <f t="shared" si="18"/>
        <v>7</v>
      </c>
      <c r="I630" s="6">
        <f t="shared" si="19"/>
        <v>0.7142857142857143</v>
      </c>
    </row>
    <row r="631" spans="1:9" x14ac:dyDescent="0.2">
      <c r="A631" t="s">
        <v>1897</v>
      </c>
      <c r="B631">
        <v>7</v>
      </c>
      <c r="C631" t="s">
        <v>13</v>
      </c>
      <c r="D631" t="s">
        <v>1898</v>
      </c>
      <c r="E631" t="s">
        <v>1899</v>
      </c>
      <c r="F631" t="s">
        <v>72</v>
      </c>
      <c r="G631">
        <v>1</v>
      </c>
      <c r="H631">
        <f t="shared" si="18"/>
        <v>4</v>
      </c>
      <c r="I631" s="6">
        <f t="shared" si="19"/>
        <v>0.5</v>
      </c>
    </row>
    <row r="632" spans="1:9" x14ac:dyDescent="0.2">
      <c r="A632" t="s">
        <v>1900</v>
      </c>
      <c r="B632">
        <v>4</v>
      </c>
      <c r="C632" t="s">
        <v>13</v>
      </c>
      <c r="D632" t="s">
        <v>1901</v>
      </c>
      <c r="E632" t="s">
        <v>1902</v>
      </c>
      <c r="F632" t="s">
        <v>142</v>
      </c>
      <c r="G632">
        <v>0</v>
      </c>
      <c r="H632">
        <f t="shared" si="18"/>
        <v>5</v>
      </c>
      <c r="I632" s="6">
        <f t="shared" si="19"/>
        <v>0.4</v>
      </c>
    </row>
    <row r="633" spans="1:9" x14ac:dyDescent="0.2">
      <c r="A633" t="s">
        <v>1903</v>
      </c>
      <c r="B633">
        <v>4</v>
      </c>
      <c r="C633" t="s">
        <v>22</v>
      </c>
      <c r="D633" t="s">
        <v>1904</v>
      </c>
      <c r="E633" t="s">
        <v>1905</v>
      </c>
      <c r="F633" t="s">
        <v>29</v>
      </c>
      <c r="G633">
        <v>0</v>
      </c>
      <c r="H633">
        <f t="shared" si="18"/>
        <v>8</v>
      </c>
      <c r="I633" s="6">
        <f t="shared" si="19"/>
        <v>0.875</v>
      </c>
    </row>
    <row r="634" spans="1:9" x14ac:dyDescent="0.2">
      <c r="A634" t="s">
        <v>1906</v>
      </c>
      <c r="B634">
        <v>11</v>
      </c>
      <c r="C634" t="s">
        <v>13</v>
      </c>
      <c r="D634" t="s">
        <v>1907</v>
      </c>
      <c r="E634" t="s">
        <v>1908</v>
      </c>
      <c r="F634" t="s">
        <v>25</v>
      </c>
      <c r="G634">
        <v>1</v>
      </c>
      <c r="H634">
        <f t="shared" si="18"/>
        <v>7</v>
      </c>
      <c r="I634" s="6">
        <f t="shared" si="19"/>
        <v>0.7142857142857143</v>
      </c>
    </row>
    <row r="635" spans="1:9" x14ac:dyDescent="0.2">
      <c r="A635" t="s">
        <v>1909</v>
      </c>
      <c r="B635">
        <v>7</v>
      </c>
      <c r="C635" t="s">
        <v>8</v>
      </c>
      <c r="D635" t="s">
        <v>1910</v>
      </c>
      <c r="E635" t="s">
        <v>1911</v>
      </c>
      <c r="F635" t="s">
        <v>33</v>
      </c>
      <c r="G635">
        <v>0</v>
      </c>
      <c r="H635">
        <f t="shared" si="18"/>
        <v>4</v>
      </c>
      <c r="I635" s="6">
        <f t="shared" si="19"/>
        <v>0.5</v>
      </c>
    </row>
    <row r="636" spans="1:9" x14ac:dyDescent="0.2">
      <c r="A636" t="s">
        <v>1912</v>
      </c>
      <c r="B636">
        <v>9</v>
      </c>
      <c r="C636" t="s">
        <v>80</v>
      </c>
      <c r="D636" t="s">
        <v>1913</v>
      </c>
      <c r="E636" t="s">
        <v>1914</v>
      </c>
      <c r="F636" t="s">
        <v>11</v>
      </c>
      <c r="G636">
        <v>1</v>
      </c>
      <c r="H636">
        <f t="shared" si="18"/>
        <v>4</v>
      </c>
      <c r="I636" s="6">
        <f t="shared" si="19"/>
        <v>0.5</v>
      </c>
    </row>
    <row r="637" spans="1:9" x14ac:dyDescent="0.2">
      <c r="A637" t="s">
        <v>1915</v>
      </c>
      <c r="B637">
        <v>3</v>
      </c>
      <c r="C637" t="s">
        <v>80</v>
      </c>
      <c r="D637" t="s">
        <v>1916</v>
      </c>
      <c r="E637" t="s">
        <v>1917</v>
      </c>
      <c r="F637" t="s">
        <v>25</v>
      </c>
      <c r="G637">
        <v>1</v>
      </c>
      <c r="H637">
        <f t="shared" si="18"/>
        <v>7</v>
      </c>
      <c r="I637" s="6">
        <f t="shared" si="19"/>
        <v>0.7142857142857143</v>
      </c>
    </row>
    <row r="638" spans="1:9" x14ac:dyDescent="0.2">
      <c r="A638" t="s">
        <v>1918</v>
      </c>
      <c r="B638">
        <v>1</v>
      </c>
      <c r="C638" t="s">
        <v>8</v>
      </c>
      <c r="D638" t="s">
        <v>1919</v>
      </c>
      <c r="E638" t="s">
        <v>1920</v>
      </c>
      <c r="F638" t="s">
        <v>194</v>
      </c>
      <c r="G638">
        <v>0</v>
      </c>
      <c r="H638">
        <f t="shared" si="18"/>
        <v>3</v>
      </c>
      <c r="I638" s="6">
        <f t="shared" si="19"/>
        <v>1</v>
      </c>
    </row>
    <row r="639" spans="1:9" x14ac:dyDescent="0.2">
      <c r="A639" t="s">
        <v>1921</v>
      </c>
      <c r="B639">
        <v>3</v>
      </c>
      <c r="C639" t="s">
        <v>80</v>
      </c>
      <c r="D639" t="s">
        <v>1922</v>
      </c>
      <c r="E639" t="s">
        <v>1923</v>
      </c>
      <c r="F639" t="s">
        <v>37</v>
      </c>
      <c r="G639">
        <v>0</v>
      </c>
      <c r="H639">
        <f t="shared" si="18"/>
        <v>8</v>
      </c>
      <c r="I639" s="6">
        <f t="shared" si="19"/>
        <v>0.625</v>
      </c>
    </row>
    <row r="640" spans="1:9" x14ac:dyDescent="0.2">
      <c r="A640" t="s">
        <v>1924</v>
      </c>
      <c r="B640">
        <v>1</v>
      </c>
      <c r="C640" t="s">
        <v>8</v>
      </c>
      <c r="D640" t="s">
        <v>1925</v>
      </c>
      <c r="E640" t="s">
        <v>1926</v>
      </c>
      <c r="F640" t="s">
        <v>46</v>
      </c>
      <c r="G640">
        <v>0</v>
      </c>
      <c r="H640">
        <f t="shared" si="18"/>
        <v>3</v>
      </c>
      <c r="I640" s="6">
        <f t="shared" si="19"/>
        <v>0.66666666666666663</v>
      </c>
    </row>
    <row r="641" spans="1:9" x14ac:dyDescent="0.2">
      <c r="A641" t="s">
        <v>1927</v>
      </c>
      <c r="B641">
        <v>1</v>
      </c>
      <c r="C641" t="s">
        <v>22</v>
      </c>
      <c r="D641" t="s">
        <v>1928</v>
      </c>
      <c r="E641" t="s">
        <v>1929</v>
      </c>
      <c r="F641" t="s">
        <v>72</v>
      </c>
      <c r="G641">
        <v>1</v>
      </c>
      <c r="H641">
        <f t="shared" si="18"/>
        <v>4</v>
      </c>
      <c r="I641" s="6">
        <f t="shared" si="19"/>
        <v>0.5</v>
      </c>
    </row>
    <row r="642" spans="1:9" x14ac:dyDescent="0.2">
      <c r="A642" t="s">
        <v>1930</v>
      </c>
      <c r="B642">
        <v>8</v>
      </c>
      <c r="C642" t="s">
        <v>22</v>
      </c>
      <c r="D642" t="s">
        <v>1931</v>
      </c>
      <c r="E642" t="s">
        <v>1932</v>
      </c>
      <c r="F642" t="s">
        <v>20</v>
      </c>
      <c r="G642">
        <v>0</v>
      </c>
      <c r="H642">
        <f t="shared" ref="H642:H705" si="20">COUNTIF($F$2:$F$100, F642)</f>
        <v>8</v>
      </c>
      <c r="I642" s="6">
        <f t="shared" ref="I642:I705" si="21">SUMIFS($G$2:$G$100, $F$2:$F$100, F642) / COUNTIF($F$2:$F$100, F642)</f>
        <v>0.5</v>
      </c>
    </row>
    <row r="643" spans="1:9" x14ac:dyDescent="0.2">
      <c r="A643" t="s">
        <v>1933</v>
      </c>
      <c r="B643">
        <v>4</v>
      </c>
      <c r="C643" t="s">
        <v>13</v>
      </c>
      <c r="D643" t="s">
        <v>1934</v>
      </c>
      <c r="E643" t="s">
        <v>1935</v>
      </c>
      <c r="F643" t="s">
        <v>50</v>
      </c>
      <c r="G643">
        <v>0</v>
      </c>
      <c r="H643">
        <f t="shared" si="20"/>
        <v>2</v>
      </c>
      <c r="I643" s="6">
        <f t="shared" si="21"/>
        <v>0.5</v>
      </c>
    </row>
    <row r="644" spans="1:9" x14ac:dyDescent="0.2">
      <c r="A644" t="s">
        <v>1936</v>
      </c>
      <c r="B644">
        <v>1</v>
      </c>
      <c r="C644" t="s">
        <v>13</v>
      </c>
      <c r="D644" t="s">
        <v>1937</v>
      </c>
      <c r="E644" t="s">
        <v>1938</v>
      </c>
      <c r="F644" t="s">
        <v>42</v>
      </c>
      <c r="G644">
        <v>0</v>
      </c>
      <c r="H644">
        <f t="shared" si="20"/>
        <v>4</v>
      </c>
      <c r="I644" s="6">
        <f t="shared" si="21"/>
        <v>1</v>
      </c>
    </row>
    <row r="645" spans="1:9" x14ac:dyDescent="0.2">
      <c r="A645" t="s">
        <v>1939</v>
      </c>
      <c r="B645">
        <v>5</v>
      </c>
      <c r="C645" t="s">
        <v>80</v>
      </c>
      <c r="D645" t="s">
        <v>1940</v>
      </c>
      <c r="E645" t="s">
        <v>1941</v>
      </c>
      <c r="F645" t="s">
        <v>37</v>
      </c>
      <c r="G645">
        <v>0</v>
      </c>
      <c r="H645">
        <f t="shared" si="20"/>
        <v>8</v>
      </c>
      <c r="I645" s="6">
        <f t="shared" si="21"/>
        <v>0.625</v>
      </c>
    </row>
    <row r="646" spans="1:9" x14ac:dyDescent="0.2">
      <c r="A646" t="s">
        <v>1942</v>
      </c>
      <c r="B646">
        <v>1</v>
      </c>
      <c r="C646" t="s">
        <v>13</v>
      </c>
      <c r="D646" t="s">
        <v>1943</v>
      </c>
      <c r="E646" t="s">
        <v>1944</v>
      </c>
      <c r="F646" t="s">
        <v>37</v>
      </c>
      <c r="G646">
        <v>0</v>
      </c>
      <c r="H646">
        <f t="shared" si="20"/>
        <v>8</v>
      </c>
      <c r="I646" s="6">
        <f t="shared" si="21"/>
        <v>0.625</v>
      </c>
    </row>
    <row r="647" spans="1:9" x14ac:dyDescent="0.2">
      <c r="A647" t="s">
        <v>1945</v>
      </c>
      <c r="B647">
        <v>9</v>
      </c>
      <c r="C647" t="s">
        <v>13</v>
      </c>
      <c r="D647" t="s">
        <v>1946</v>
      </c>
      <c r="E647" t="s">
        <v>1947</v>
      </c>
      <c r="F647" t="s">
        <v>62</v>
      </c>
      <c r="G647">
        <v>0</v>
      </c>
      <c r="H647">
        <f t="shared" si="20"/>
        <v>6</v>
      </c>
      <c r="I647" s="6">
        <f t="shared" si="21"/>
        <v>0.5</v>
      </c>
    </row>
    <row r="648" spans="1:9" x14ac:dyDescent="0.2">
      <c r="A648" t="s">
        <v>1948</v>
      </c>
      <c r="B648">
        <v>8</v>
      </c>
      <c r="C648" t="s">
        <v>22</v>
      </c>
      <c r="D648" t="s">
        <v>1949</v>
      </c>
      <c r="E648" t="s">
        <v>1950</v>
      </c>
      <c r="F648" t="s">
        <v>33</v>
      </c>
      <c r="G648">
        <v>1</v>
      </c>
      <c r="H648">
        <f t="shared" si="20"/>
        <v>4</v>
      </c>
      <c r="I648" s="6">
        <f t="shared" si="21"/>
        <v>0.5</v>
      </c>
    </row>
    <row r="649" spans="1:9" x14ac:dyDescent="0.2">
      <c r="A649" t="s">
        <v>1951</v>
      </c>
      <c r="B649">
        <v>6</v>
      </c>
      <c r="C649" t="s">
        <v>8</v>
      </c>
      <c r="D649" t="s">
        <v>1952</v>
      </c>
      <c r="E649" t="s">
        <v>1953</v>
      </c>
      <c r="F649" t="s">
        <v>20</v>
      </c>
      <c r="G649">
        <v>0</v>
      </c>
      <c r="H649">
        <f t="shared" si="20"/>
        <v>8</v>
      </c>
      <c r="I649" s="6">
        <f t="shared" si="21"/>
        <v>0.5</v>
      </c>
    </row>
    <row r="650" spans="1:9" x14ac:dyDescent="0.2">
      <c r="A650" t="s">
        <v>1954</v>
      </c>
      <c r="B650">
        <v>1</v>
      </c>
      <c r="C650" t="s">
        <v>8</v>
      </c>
      <c r="D650" t="s">
        <v>1955</v>
      </c>
      <c r="E650" t="s">
        <v>1956</v>
      </c>
      <c r="F650" t="s">
        <v>142</v>
      </c>
      <c r="G650">
        <v>0</v>
      </c>
      <c r="H650">
        <f t="shared" si="20"/>
        <v>5</v>
      </c>
      <c r="I650" s="6">
        <f t="shared" si="21"/>
        <v>0.4</v>
      </c>
    </row>
    <row r="651" spans="1:9" x14ac:dyDescent="0.2">
      <c r="A651" t="s">
        <v>1957</v>
      </c>
      <c r="B651">
        <v>6</v>
      </c>
      <c r="C651" t="s">
        <v>8</v>
      </c>
      <c r="D651" t="s">
        <v>1958</v>
      </c>
      <c r="E651" t="s">
        <v>1959</v>
      </c>
      <c r="F651" t="s">
        <v>108</v>
      </c>
      <c r="G651">
        <v>1</v>
      </c>
      <c r="H651">
        <f t="shared" si="20"/>
        <v>2</v>
      </c>
      <c r="I651" s="6">
        <f t="shared" si="21"/>
        <v>1</v>
      </c>
    </row>
    <row r="652" spans="1:9" x14ac:dyDescent="0.2">
      <c r="A652" t="s">
        <v>1960</v>
      </c>
      <c r="B652">
        <v>3</v>
      </c>
      <c r="C652" t="s">
        <v>80</v>
      </c>
      <c r="D652" t="s">
        <v>1961</v>
      </c>
      <c r="E652" t="s">
        <v>1962</v>
      </c>
      <c r="F652" t="s">
        <v>194</v>
      </c>
      <c r="G652">
        <v>1</v>
      </c>
      <c r="H652">
        <f t="shared" si="20"/>
        <v>3</v>
      </c>
      <c r="I652" s="6">
        <f t="shared" si="21"/>
        <v>1</v>
      </c>
    </row>
    <row r="653" spans="1:9" x14ac:dyDescent="0.2">
      <c r="A653" t="s">
        <v>1963</v>
      </c>
      <c r="B653">
        <v>11</v>
      </c>
      <c r="C653" t="s">
        <v>80</v>
      </c>
      <c r="D653" t="s">
        <v>1964</v>
      </c>
      <c r="E653" t="s">
        <v>1965</v>
      </c>
      <c r="F653" t="s">
        <v>29</v>
      </c>
      <c r="G653">
        <v>1</v>
      </c>
      <c r="H653">
        <f t="shared" si="20"/>
        <v>8</v>
      </c>
      <c r="I653" s="6">
        <f t="shared" si="21"/>
        <v>0.875</v>
      </c>
    </row>
    <row r="654" spans="1:9" x14ac:dyDescent="0.2">
      <c r="A654" t="s">
        <v>1966</v>
      </c>
      <c r="B654">
        <v>5</v>
      </c>
      <c r="C654" t="s">
        <v>22</v>
      </c>
      <c r="D654" t="s">
        <v>1967</v>
      </c>
      <c r="E654" t="s">
        <v>1968</v>
      </c>
      <c r="F654" t="s">
        <v>72</v>
      </c>
      <c r="G654">
        <v>1</v>
      </c>
      <c r="H654">
        <f t="shared" si="20"/>
        <v>4</v>
      </c>
      <c r="I654" s="6">
        <f t="shared" si="21"/>
        <v>0.5</v>
      </c>
    </row>
    <row r="655" spans="1:9" x14ac:dyDescent="0.2">
      <c r="A655" t="s">
        <v>1969</v>
      </c>
      <c r="B655">
        <v>2</v>
      </c>
      <c r="C655" t="s">
        <v>22</v>
      </c>
      <c r="D655" t="s">
        <v>1970</v>
      </c>
      <c r="E655" t="s">
        <v>1971</v>
      </c>
      <c r="F655" t="s">
        <v>29</v>
      </c>
      <c r="G655">
        <v>0</v>
      </c>
      <c r="H655">
        <f t="shared" si="20"/>
        <v>8</v>
      </c>
      <c r="I655" s="6">
        <f t="shared" si="21"/>
        <v>0.875</v>
      </c>
    </row>
    <row r="656" spans="1:9" x14ac:dyDescent="0.2">
      <c r="A656" t="s">
        <v>1972</v>
      </c>
      <c r="B656">
        <v>8</v>
      </c>
      <c r="C656" t="s">
        <v>39</v>
      </c>
      <c r="D656" t="s">
        <v>1973</v>
      </c>
      <c r="E656" t="s">
        <v>1974</v>
      </c>
      <c r="F656" t="s">
        <v>50</v>
      </c>
      <c r="G656">
        <v>0</v>
      </c>
      <c r="H656">
        <f t="shared" si="20"/>
        <v>2</v>
      </c>
      <c r="I656" s="6">
        <f t="shared" si="21"/>
        <v>0.5</v>
      </c>
    </row>
    <row r="657" spans="1:9" x14ac:dyDescent="0.2">
      <c r="A657" t="s">
        <v>1975</v>
      </c>
      <c r="B657">
        <v>8</v>
      </c>
      <c r="C657" t="s">
        <v>39</v>
      </c>
      <c r="D657" t="s">
        <v>1976</v>
      </c>
      <c r="E657" t="s">
        <v>1977</v>
      </c>
      <c r="F657" t="s">
        <v>11</v>
      </c>
      <c r="G657">
        <v>1</v>
      </c>
      <c r="H657">
        <f t="shared" si="20"/>
        <v>4</v>
      </c>
      <c r="I657" s="6">
        <f t="shared" si="21"/>
        <v>0.5</v>
      </c>
    </row>
    <row r="658" spans="1:9" x14ac:dyDescent="0.2">
      <c r="A658" t="s">
        <v>1978</v>
      </c>
      <c r="B658">
        <v>4</v>
      </c>
      <c r="C658" t="s">
        <v>39</v>
      </c>
      <c r="D658" t="s">
        <v>1979</v>
      </c>
      <c r="E658" t="s">
        <v>1980</v>
      </c>
      <c r="F658" t="s">
        <v>20</v>
      </c>
      <c r="G658">
        <v>1</v>
      </c>
      <c r="H658">
        <f t="shared" si="20"/>
        <v>8</v>
      </c>
      <c r="I658" s="6">
        <f t="shared" si="21"/>
        <v>0.5</v>
      </c>
    </row>
    <row r="659" spans="1:9" x14ac:dyDescent="0.2">
      <c r="A659" t="s">
        <v>1981</v>
      </c>
      <c r="B659">
        <v>1</v>
      </c>
      <c r="C659" t="s">
        <v>8</v>
      </c>
      <c r="D659" t="s">
        <v>1982</v>
      </c>
      <c r="E659" t="s">
        <v>1983</v>
      </c>
      <c r="F659" t="s">
        <v>25</v>
      </c>
      <c r="G659">
        <v>1</v>
      </c>
      <c r="H659">
        <f t="shared" si="20"/>
        <v>7</v>
      </c>
      <c r="I659" s="6">
        <f t="shared" si="21"/>
        <v>0.7142857142857143</v>
      </c>
    </row>
    <row r="660" spans="1:9" x14ac:dyDescent="0.2">
      <c r="A660" t="s">
        <v>1984</v>
      </c>
      <c r="B660">
        <v>2</v>
      </c>
      <c r="C660" t="s">
        <v>13</v>
      </c>
      <c r="D660" t="s">
        <v>1985</v>
      </c>
      <c r="E660" t="s">
        <v>1986</v>
      </c>
      <c r="F660" t="s">
        <v>108</v>
      </c>
      <c r="G660">
        <v>1</v>
      </c>
      <c r="H660">
        <f t="shared" si="20"/>
        <v>2</v>
      </c>
      <c r="I660" s="6">
        <f t="shared" si="21"/>
        <v>1</v>
      </c>
    </row>
    <row r="661" spans="1:9" x14ac:dyDescent="0.2">
      <c r="A661" t="s">
        <v>1987</v>
      </c>
      <c r="B661">
        <v>0</v>
      </c>
      <c r="C661" t="s">
        <v>13</v>
      </c>
      <c r="D661" t="s">
        <v>1988</v>
      </c>
      <c r="E661" t="s">
        <v>1303</v>
      </c>
      <c r="F661" t="s">
        <v>16</v>
      </c>
      <c r="G661">
        <v>0</v>
      </c>
      <c r="H661">
        <f t="shared" si="20"/>
        <v>5</v>
      </c>
      <c r="I661" s="6">
        <f t="shared" si="21"/>
        <v>0.6</v>
      </c>
    </row>
    <row r="662" spans="1:9" x14ac:dyDescent="0.2">
      <c r="A662" t="s">
        <v>1989</v>
      </c>
      <c r="B662">
        <v>3</v>
      </c>
      <c r="C662" t="s">
        <v>22</v>
      </c>
      <c r="D662" t="s">
        <v>1990</v>
      </c>
      <c r="E662" t="s">
        <v>1991</v>
      </c>
      <c r="F662" t="s">
        <v>62</v>
      </c>
      <c r="G662">
        <v>1</v>
      </c>
      <c r="H662">
        <f t="shared" si="20"/>
        <v>6</v>
      </c>
      <c r="I662" s="6">
        <f t="shared" si="21"/>
        <v>0.5</v>
      </c>
    </row>
    <row r="663" spans="1:9" x14ac:dyDescent="0.2">
      <c r="A663" t="s">
        <v>1992</v>
      </c>
      <c r="B663">
        <v>1</v>
      </c>
      <c r="C663" t="s">
        <v>13</v>
      </c>
      <c r="D663" t="s">
        <v>1993</v>
      </c>
      <c r="E663" t="s">
        <v>1994</v>
      </c>
      <c r="F663" t="s">
        <v>50</v>
      </c>
      <c r="G663">
        <v>0</v>
      </c>
      <c r="H663">
        <f t="shared" si="20"/>
        <v>2</v>
      </c>
      <c r="I663" s="6">
        <f t="shared" si="21"/>
        <v>0.5</v>
      </c>
    </row>
    <row r="664" spans="1:9" x14ac:dyDescent="0.2">
      <c r="A664" t="s">
        <v>1995</v>
      </c>
      <c r="B664">
        <v>0</v>
      </c>
      <c r="C664" t="s">
        <v>13</v>
      </c>
      <c r="D664" t="s">
        <v>1996</v>
      </c>
      <c r="E664" t="s">
        <v>1997</v>
      </c>
      <c r="F664" t="s">
        <v>16</v>
      </c>
      <c r="G664">
        <v>0</v>
      </c>
      <c r="H664">
        <f t="shared" si="20"/>
        <v>5</v>
      </c>
      <c r="I664" s="6">
        <f t="shared" si="21"/>
        <v>0.6</v>
      </c>
    </row>
    <row r="665" spans="1:9" x14ac:dyDescent="0.2">
      <c r="A665" t="s">
        <v>1998</v>
      </c>
      <c r="B665">
        <v>6</v>
      </c>
      <c r="C665" t="s">
        <v>80</v>
      </c>
      <c r="D665" t="s">
        <v>1999</v>
      </c>
      <c r="E665" t="s">
        <v>2000</v>
      </c>
      <c r="F665" t="s">
        <v>37</v>
      </c>
      <c r="G665">
        <v>0</v>
      </c>
      <c r="H665">
        <f t="shared" si="20"/>
        <v>8</v>
      </c>
      <c r="I665" s="6">
        <f t="shared" si="21"/>
        <v>0.625</v>
      </c>
    </row>
    <row r="666" spans="1:9" x14ac:dyDescent="0.2">
      <c r="A666" t="s">
        <v>2001</v>
      </c>
      <c r="B666">
        <v>11</v>
      </c>
      <c r="C666" t="s">
        <v>39</v>
      </c>
      <c r="D666" t="s">
        <v>2002</v>
      </c>
      <c r="E666" t="s">
        <v>2003</v>
      </c>
      <c r="F666" t="s">
        <v>29</v>
      </c>
      <c r="G666">
        <v>0</v>
      </c>
      <c r="H666">
        <f t="shared" si="20"/>
        <v>8</v>
      </c>
      <c r="I666" s="6">
        <f t="shared" si="21"/>
        <v>0.875</v>
      </c>
    </row>
    <row r="667" spans="1:9" x14ac:dyDescent="0.2">
      <c r="A667" t="s">
        <v>2004</v>
      </c>
      <c r="B667">
        <v>0</v>
      </c>
      <c r="C667" t="s">
        <v>13</v>
      </c>
      <c r="D667" t="s">
        <v>2005</v>
      </c>
      <c r="E667" t="s">
        <v>2006</v>
      </c>
      <c r="F667" t="s">
        <v>62</v>
      </c>
      <c r="G667">
        <v>0</v>
      </c>
      <c r="H667">
        <f t="shared" si="20"/>
        <v>6</v>
      </c>
      <c r="I667" s="6">
        <f t="shared" si="21"/>
        <v>0.5</v>
      </c>
    </row>
    <row r="668" spans="1:9" x14ac:dyDescent="0.2">
      <c r="A668" t="s">
        <v>2007</v>
      </c>
      <c r="B668">
        <v>10</v>
      </c>
      <c r="C668" t="s">
        <v>39</v>
      </c>
      <c r="D668" t="s">
        <v>2008</v>
      </c>
      <c r="E668" t="s">
        <v>2009</v>
      </c>
      <c r="F668" t="s">
        <v>194</v>
      </c>
      <c r="G668">
        <v>0</v>
      </c>
      <c r="H668">
        <f t="shared" si="20"/>
        <v>3</v>
      </c>
      <c r="I668" s="6">
        <f t="shared" si="21"/>
        <v>1</v>
      </c>
    </row>
    <row r="669" spans="1:9" x14ac:dyDescent="0.2">
      <c r="A669" t="s">
        <v>2010</v>
      </c>
      <c r="B669">
        <v>6</v>
      </c>
      <c r="C669" t="s">
        <v>80</v>
      </c>
      <c r="D669" t="s">
        <v>2011</v>
      </c>
      <c r="E669" t="s">
        <v>2012</v>
      </c>
      <c r="F669" t="s">
        <v>37</v>
      </c>
      <c r="G669">
        <v>1</v>
      </c>
      <c r="H669">
        <f t="shared" si="20"/>
        <v>8</v>
      </c>
      <c r="I669" s="6">
        <f t="shared" si="21"/>
        <v>0.625</v>
      </c>
    </row>
    <row r="670" spans="1:9" x14ac:dyDescent="0.2">
      <c r="A670" t="s">
        <v>2013</v>
      </c>
      <c r="B670">
        <v>2</v>
      </c>
      <c r="C670" t="s">
        <v>39</v>
      </c>
      <c r="D670" t="s">
        <v>2014</v>
      </c>
      <c r="E670" t="s">
        <v>2015</v>
      </c>
      <c r="F670" t="s">
        <v>37</v>
      </c>
      <c r="G670">
        <v>0</v>
      </c>
      <c r="H670">
        <f t="shared" si="20"/>
        <v>8</v>
      </c>
      <c r="I670" s="6">
        <f t="shared" si="21"/>
        <v>0.625</v>
      </c>
    </row>
    <row r="671" spans="1:9" x14ac:dyDescent="0.2">
      <c r="A671" t="s">
        <v>2016</v>
      </c>
      <c r="B671">
        <v>5</v>
      </c>
      <c r="C671" t="s">
        <v>39</v>
      </c>
      <c r="D671" t="s">
        <v>2017</v>
      </c>
      <c r="E671" t="s">
        <v>2018</v>
      </c>
      <c r="F671" t="s">
        <v>108</v>
      </c>
      <c r="G671">
        <v>0</v>
      </c>
      <c r="H671">
        <f t="shared" si="20"/>
        <v>2</v>
      </c>
      <c r="I671" s="6">
        <f t="shared" si="21"/>
        <v>1</v>
      </c>
    </row>
    <row r="672" spans="1:9" x14ac:dyDescent="0.2">
      <c r="A672" t="s">
        <v>2019</v>
      </c>
      <c r="B672">
        <v>7</v>
      </c>
      <c r="C672" t="s">
        <v>22</v>
      </c>
      <c r="D672" t="s">
        <v>2020</v>
      </c>
      <c r="E672" t="s">
        <v>2021</v>
      </c>
      <c r="F672" t="s">
        <v>62</v>
      </c>
      <c r="G672">
        <v>1</v>
      </c>
      <c r="H672">
        <f t="shared" si="20"/>
        <v>6</v>
      </c>
      <c r="I672" s="6">
        <f t="shared" si="21"/>
        <v>0.5</v>
      </c>
    </row>
    <row r="673" spans="1:9" x14ac:dyDescent="0.2">
      <c r="A673" t="s">
        <v>2022</v>
      </c>
      <c r="B673">
        <v>1</v>
      </c>
      <c r="C673" t="s">
        <v>80</v>
      </c>
      <c r="D673" t="s">
        <v>2023</v>
      </c>
      <c r="E673" t="s">
        <v>2024</v>
      </c>
      <c r="F673" t="s">
        <v>54</v>
      </c>
      <c r="G673">
        <v>1</v>
      </c>
      <c r="H673">
        <f t="shared" si="20"/>
        <v>11</v>
      </c>
      <c r="I673" s="6">
        <f t="shared" si="21"/>
        <v>0.63636363636363635</v>
      </c>
    </row>
    <row r="674" spans="1:9" x14ac:dyDescent="0.2">
      <c r="A674" t="s">
        <v>2025</v>
      </c>
      <c r="B674">
        <v>3</v>
      </c>
      <c r="C674" t="s">
        <v>39</v>
      </c>
      <c r="D674" t="s">
        <v>2026</v>
      </c>
      <c r="E674" t="s">
        <v>2027</v>
      </c>
      <c r="F674" t="s">
        <v>72</v>
      </c>
      <c r="G674">
        <v>1</v>
      </c>
      <c r="H674">
        <f t="shared" si="20"/>
        <v>4</v>
      </c>
      <c r="I674" s="6">
        <f t="shared" si="21"/>
        <v>0.5</v>
      </c>
    </row>
    <row r="675" spans="1:9" x14ac:dyDescent="0.2">
      <c r="A675" t="s">
        <v>2028</v>
      </c>
      <c r="B675">
        <v>2</v>
      </c>
      <c r="C675" t="s">
        <v>80</v>
      </c>
      <c r="D675" t="s">
        <v>2029</v>
      </c>
      <c r="E675" t="s">
        <v>2030</v>
      </c>
      <c r="F675" t="s">
        <v>211</v>
      </c>
      <c r="G675">
        <v>0</v>
      </c>
      <c r="H675">
        <f t="shared" si="20"/>
        <v>3</v>
      </c>
      <c r="I675" s="6">
        <f t="shared" si="21"/>
        <v>0.33333333333333331</v>
      </c>
    </row>
    <row r="676" spans="1:9" x14ac:dyDescent="0.2">
      <c r="A676" t="s">
        <v>2031</v>
      </c>
      <c r="B676">
        <v>7</v>
      </c>
      <c r="C676" t="s">
        <v>8</v>
      </c>
      <c r="D676" t="s">
        <v>2032</v>
      </c>
      <c r="E676" t="s">
        <v>2033</v>
      </c>
      <c r="F676" t="s">
        <v>16</v>
      </c>
      <c r="G676">
        <v>1</v>
      </c>
      <c r="H676">
        <f t="shared" si="20"/>
        <v>5</v>
      </c>
      <c r="I676" s="6">
        <f t="shared" si="21"/>
        <v>0.6</v>
      </c>
    </row>
    <row r="677" spans="1:9" x14ac:dyDescent="0.2">
      <c r="A677" t="s">
        <v>2034</v>
      </c>
      <c r="B677">
        <v>0</v>
      </c>
      <c r="C677" t="s">
        <v>13</v>
      </c>
      <c r="D677" t="s">
        <v>2035</v>
      </c>
      <c r="E677" t="s">
        <v>2036</v>
      </c>
      <c r="F677" t="s">
        <v>11</v>
      </c>
      <c r="G677">
        <v>1</v>
      </c>
      <c r="H677">
        <f t="shared" si="20"/>
        <v>4</v>
      </c>
      <c r="I677" s="6">
        <f t="shared" si="21"/>
        <v>0.5</v>
      </c>
    </row>
    <row r="678" spans="1:9" x14ac:dyDescent="0.2">
      <c r="A678" t="s">
        <v>2037</v>
      </c>
      <c r="B678">
        <v>0</v>
      </c>
      <c r="C678" t="s">
        <v>8</v>
      </c>
      <c r="D678" t="s">
        <v>2038</v>
      </c>
      <c r="E678" t="s">
        <v>2039</v>
      </c>
      <c r="F678" t="s">
        <v>29</v>
      </c>
      <c r="G678">
        <v>1</v>
      </c>
      <c r="H678">
        <f t="shared" si="20"/>
        <v>8</v>
      </c>
      <c r="I678" s="6">
        <f t="shared" si="21"/>
        <v>0.875</v>
      </c>
    </row>
    <row r="679" spans="1:9" x14ac:dyDescent="0.2">
      <c r="A679" t="s">
        <v>2040</v>
      </c>
      <c r="B679">
        <v>3</v>
      </c>
      <c r="C679" t="s">
        <v>80</v>
      </c>
      <c r="D679" t="s">
        <v>2041</v>
      </c>
      <c r="E679" t="s">
        <v>2042</v>
      </c>
      <c r="F679" t="s">
        <v>58</v>
      </c>
      <c r="G679">
        <v>0</v>
      </c>
      <c r="H679">
        <f t="shared" si="20"/>
        <v>2</v>
      </c>
      <c r="I679" s="6">
        <f t="shared" si="21"/>
        <v>1</v>
      </c>
    </row>
    <row r="680" spans="1:9" x14ac:dyDescent="0.2">
      <c r="A680" t="s">
        <v>2043</v>
      </c>
      <c r="B680">
        <v>10</v>
      </c>
      <c r="C680" t="s">
        <v>13</v>
      </c>
      <c r="D680" t="s">
        <v>2044</v>
      </c>
      <c r="E680" t="s">
        <v>2045</v>
      </c>
      <c r="F680" t="s">
        <v>108</v>
      </c>
      <c r="G680">
        <v>0</v>
      </c>
      <c r="H680">
        <f t="shared" si="20"/>
        <v>2</v>
      </c>
      <c r="I680" s="6">
        <f t="shared" si="21"/>
        <v>1</v>
      </c>
    </row>
    <row r="681" spans="1:9" x14ac:dyDescent="0.2">
      <c r="A681" t="s">
        <v>2046</v>
      </c>
      <c r="B681">
        <v>0</v>
      </c>
      <c r="C681" t="s">
        <v>22</v>
      </c>
      <c r="D681" t="s">
        <v>2047</v>
      </c>
      <c r="E681" t="s">
        <v>2048</v>
      </c>
      <c r="F681" t="s">
        <v>104</v>
      </c>
      <c r="G681">
        <v>1</v>
      </c>
      <c r="H681">
        <f t="shared" si="20"/>
        <v>4</v>
      </c>
      <c r="I681" s="6">
        <f t="shared" si="21"/>
        <v>0.25</v>
      </c>
    </row>
    <row r="682" spans="1:9" x14ac:dyDescent="0.2">
      <c r="A682" t="s">
        <v>2049</v>
      </c>
      <c r="B682">
        <v>7</v>
      </c>
      <c r="C682" t="s">
        <v>22</v>
      </c>
      <c r="D682" t="s">
        <v>2050</v>
      </c>
      <c r="E682" t="s">
        <v>2051</v>
      </c>
      <c r="F682" t="s">
        <v>108</v>
      </c>
      <c r="G682">
        <v>1</v>
      </c>
      <c r="H682">
        <f t="shared" si="20"/>
        <v>2</v>
      </c>
      <c r="I682" s="6">
        <f t="shared" si="21"/>
        <v>1</v>
      </c>
    </row>
    <row r="683" spans="1:9" x14ac:dyDescent="0.2">
      <c r="A683" t="s">
        <v>2052</v>
      </c>
      <c r="B683">
        <v>5</v>
      </c>
      <c r="C683" t="s">
        <v>13</v>
      </c>
      <c r="D683" t="s">
        <v>2053</v>
      </c>
      <c r="E683" t="s">
        <v>2054</v>
      </c>
      <c r="F683" t="s">
        <v>104</v>
      </c>
      <c r="G683">
        <v>1</v>
      </c>
      <c r="H683">
        <f t="shared" si="20"/>
        <v>4</v>
      </c>
      <c r="I683" s="6">
        <f t="shared" si="21"/>
        <v>0.25</v>
      </c>
    </row>
    <row r="684" spans="1:9" x14ac:dyDescent="0.2">
      <c r="A684" t="s">
        <v>2055</v>
      </c>
      <c r="B684">
        <v>1</v>
      </c>
      <c r="C684" t="s">
        <v>80</v>
      </c>
      <c r="D684" t="s">
        <v>2056</v>
      </c>
      <c r="E684" t="s">
        <v>2057</v>
      </c>
      <c r="F684" t="s">
        <v>207</v>
      </c>
      <c r="G684">
        <v>1</v>
      </c>
      <c r="H684">
        <f t="shared" si="20"/>
        <v>3</v>
      </c>
      <c r="I684" s="6">
        <f t="shared" si="21"/>
        <v>1</v>
      </c>
    </row>
    <row r="685" spans="1:9" x14ac:dyDescent="0.2">
      <c r="A685" t="s">
        <v>2058</v>
      </c>
      <c r="B685">
        <v>0</v>
      </c>
      <c r="C685" t="s">
        <v>13</v>
      </c>
      <c r="D685" t="s">
        <v>2059</v>
      </c>
      <c r="E685" t="s">
        <v>2060</v>
      </c>
      <c r="F685" t="s">
        <v>142</v>
      </c>
      <c r="G685">
        <v>1</v>
      </c>
      <c r="H685">
        <f t="shared" si="20"/>
        <v>5</v>
      </c>
      <c r="I685" s="6">
        <f t="shared" si="21"/>
        <v>0.4</v>
      </c>
    </row>
    <row r="686" spans="1:9" x14ac:dyDescent="0.2">
      <c r="A686" t="s">
        <v>2061</v>
      </c>
      <c r="B686">
        <v>5</v>
      </c>
      <c r="C686" t="s">
        <v>8</v>
      </c>
      <c r="D686" t="s">
        <v>2062</v>
      </c>
      <c r="E686" t="s">
        <v>2063</v>
      </c>
      <c r="F686" t="s">
        <v>108</v>
      </c>
      <c r="G686">
        <v>0</v>
      </c>
      <c r="H686">
        <f t="shared" si="20"/>
        <v>2</v>
      </c>
      <c r="I686" s="6">
        <f t="shared" si="21"/>
        <v>1</v>
      </c>
    </row>
    <row r="687" spans="1:9" x14ac:dyDescent="0.2">
      <c r="A687" t="s">
        <v>2064</v>
      </c>
      <c r="B687">
        <v>9</v>
      </c>
      <c r="C687" t="s">
        <v>22</v>
      </c>
      <c r="D687" t="s">
        <v>2065</v>
      </c>
      <c r="E687" t="s">
        <v>2066</v>
      </c>
      <c r="F687" t="s">
        <v>207</v>
      </c>
      <c r="G687">
        <v>1</v>
      </c>
      <c r="H687">
        <f t="shared" si="20"/>
        <v>3</v>
      </c>
      <c r="I687" s="6">
        <f t="shared" si="21"/>
        <v>1</v>
      </c>
    </row>
    <row r="688" spans="1:9" x14ac:dyDescent="0.2">
      <c r="A688" t="s">
        <v>2067</v>
      </c>
      <c r="B688">
        <v>0</v>
      </c>
      <c r="C688" t="s">
        <v>39</v>
      </c>
      <c r="D688" t="s">
        <v>2068</v>
      </c>
      <c r="E688" t="s">
        <v>2069</v>
      </c>
      <c r="F688" t="s">
        <v>16</v>
      </c>
      <c r="G688">
        <v>0</v>
      </c>
      <c r="H688">
        <f t="shared" si="20"/>
        <v>5</v>
      </c>
      <c r="I688" s="6">
        <f t="shared" si="21"/>
        <v>0.6</v>
      </c>
    </row>
    <row r="689" spans="1:9" x14ac:dyDescent="0.2">
      <c r="A689" t="s">
        <v>2070</v>
      </c>
      <c r="B689">
        <v>1</v>
      </c>
      <c r="C689" t="s">
        <v>39</v>
      </c>
      <c r="D689" t="s">
        <v>2071</v>
      </c>
      <c r="E689" t="s">
        <v>2072</v>
      </c>
      <c r="F689" t="s">
        <v>221</v>
      </c>
      <c r="G689">
        <v>1</v>
      </c>
      <c r="H689">
        <f t="shared" si="20"/>
        <v>3</v>
      </c>
      <c r="I689" s="6">
        <f t="shared" si="21"/>
        <v>0.66666666666666663</v>
      </c>
    </row>
    <row r="690" spans="1:9" x14ac:dyDescent="0.2">
      <c r="A690" t="s">
        <v>2073</v>
      </c>
      <c r="B690">
        <v>1</v>
      </c>
      <c r="C690" t="s">
        <v>80</v>
      </c>
      <c r="D690" t="s">
        <v>2074</v>
      </c>
      <c r="E690" t="s">
        <v>2075</v>
      </c>
      <c r="F690" t="s">
        <v>50</v>
      </c>
      <c r="G690">
        <v>0</v>
      </c>
      <c r="H690">
        <f t="shared" si="20"/>
        <v>2</v>
      </c>
      <c r="I690" s="6">
        <f t="shared" si="21"/>
        <v>0.5</v>
      </c>
    </row>
    <row r="691" spans="1:9" x14ac:dyDescent="0.2">
      <c r="A691" t="s">
        <v>2076</v>
      </c>
      <c r="B691">
        <v>1</v>
      </c>
      <c r="C691" t="s">
        <v>39</v>
      </c>
      <c r="D691" t="s">
        <v>2077</v>
      </c>
      <c r="E691" t="s">
        <v>2078</v>
      </c>
      <c r="F691" t="s">
        <v>58</v>
      </c>
      <c r="G691">
        <v>1</v>
      </c>
      <c r="H691">
        <f t="shared" si="20"/>
        <v>2</v>
      </c>
      <c r="I691" s="6">
        <f t="shared" si="21"/>
        <v>1</v>
      </c>
    </row>
    <row r="692" spans="1:9" x14ac:dyDescent="0.2">
      <c r="A692" t="s">
        <v>2079</v>
      </c>
      <c r="B692">
        <v>3</v>
      </c>
      <c r="C692" t="s">
        <v>8</v>
      </c>
      <c r="D692" t="s">
        <v>2080</v>
      </c>
      <c r="E692" t="s">
        <v>2081</v>
      </c>
      <c r="F692" t="s">
        <v>72</v>
      </c>
      <c r="G692">
        <v>1</v>
      </c>
      <c r="H692">
        <f t="shared" si="20"/>
        <v>4</v>
      </c>
      <c r="I692" s="6">
        <f t="shared" si="21"/>
        <v>0.5</v>
      </c>
    </row>
    <row r="693" spans="1:9" x14ac:dyDescent="0.2">
      <c r="A693" t="s">
        <v>2082</v>
      </c>
      <c r="B693">
        <v>1</v>
      </c>
      <c r="C693" t="s">
        <v>80</v>
      </c>
      <c r="D693" t="s">
        <v>2083</v>
      </c>
      <c r="E693" t="s">
        <v>2084</v>
      </c>
      <c r="F693" t="s">
        <v>108</v>
      </c>
      <c r="G693">
        <v>1</v>
      </c>
      <c r="H693">
        <f t="shared" si="20"/>
        <v>2</v>
      </c>
      <c r="I693" s="6">
        <f t="shared" si="21"/>
        <v>1</v>
      </c>
    </row>
    <row r="694" spans="1:9" x14ac:dyDescent="0.2">
      <c r="A694" t="s">
        <v>2085</v>
      </c>
      <c r="B694">
        <v>0</v>
      </c>
      <c r="C694" t="s">
        <v>22</v>
      </c>
      <c r="D694" t="s">
        <v>2086</v>
      </c>
      <c r="E694" t="s">
        <v>2087</v>
      </c>
      <c r="F694" t="s">
        <v>50</v>
      </c>
      <c r="G694">
        <v>0</v>
      </c>
      <c r="H694">
        <f t="shared" si="20"/>
        <v>2</v>
      </c>
      <c r="I694" s="6">
        <f t="shared" si="21"/>
        <v>0.5</v>
      </c>
    </row>
    <row r="695" spans="1:9" x14ac:dyDescent="0.2">
      <c r="A695" t="s">
        <v>2088</v>
      </c>
      <c r="B695">
        <v>0</v>
      </c>
      <c r="C695" t="s">
        <v>80</v>
      </c>
      <c r="D695" t="s">
        <v>2089</v>
      </c>
      <c r="E695" t="s">
        <v>2090</v>
      </c>
      <c r="F695" t="s">
        <v>194</v>
      </c>
      <c r="G695">
        <v>1</v>
      </c>
      <c r="H695">
        <f t="shared" si="20"/>
        <v>3</v>
      </c>
      <c r="I695" s="6">
        <f t="shared" si="21"/>
        <v>1</v>
      </c>
    </row>
    <row r="696" spans="1:9" x14ac:dyDescent="0.2">
      <c r="A696" t="s">
        <v>2091</v>
      </c>
      <c r="B696">
        <v>9</v>
      </c>
      <c r="C696" t="s">
        <v>8</v>
      </c>
      <c r="D696" t="s">
        <v>2092</v>
      </c>
      <c r="E696" t="s">
        <v>2093</v>
      </c>
      <c r="F696" t="s">
        <v>25</v>
      </c>
      <c r="G696">
        <v>1</v>
      </c>
      <c r="H696">
        <f t="shared" si="20"/>
        <v>7</v>
      </c>
      <c r="I696" s="6">
        <f t="shared" si="21"/>
        <v>0.7142857142857143</v>
      </c>
    </row>
    <row r="697" spans="1:9" x14ac:dyDescent="0.2">
      <c r="A697" t="s">
        <v>2094</v>
      </c>
      <c r="B697">
        <v>1</v>
      </c>
      <c r="C697" t="s">
        <v>13</v>
      </c>
      <c r="D697" t="s">
        <v>2095</v>
      </c>
      <c r="E697" t="s">
        <v>2096</v>
      </c>
      <c r="F697" t="s">
        <v>104</v>
      </c>
      <c r="G697">
        <v>1</v>
      </c>
      <c r="H697">
        <f t="shared" si="20"/>
        <v>4</v>
      </c>
      <c r="I697" s="6">
        <f t="shared" si="21"/>
        <v>0.25</v>
      </c>
    </row>
    <row r="698" spans="1:9" x14ac:dyDescent="0.2">
      <c r="A698" t="s">
        <v>2097</v>
      </c>
      <c r="B698">
        <v>10</v>
      </c>
      <c r="C698" t="s">
        <v>13</v>
      </c>
      <c r="D698" t="s">
        <v>2098</v>
      </c>
      <c r="E698" t="s">
        <v>2099</v>
      </c>
      <c r="F698" t="s">
        <v>50</v>
      </c>
      <c r="G698">
        <v>0</v>
      </c>
      <c r="H698">
        <f t="shared" si="20"/>
        <v>2</v>
      </c>
      <c r="I698" s="6">
        <f t="shared" si="21"/>
        <v>0.5</v>
      </c>
    </row>
    <row r="699" spans="1:9" x14ac:dyDescent="0.2">
      <c r="A699" t="s">
        <v>2100</v>
      </c>
      <c r="B699">
        <v>4</v>
      </c>
      <c r="C699" t="s">
        <v>39</v>
      </c>
      <c r="D699" t="s">
        <v>2101</v>
      </c>
      <c r="E699" t="s">
        <v>2102</v>
      </c>
      <c r="F699" t="s">
        <v>50</v>
      </c>
      <c r="G699">
        <v>1</v>
      </c>
      <c r="H699">
        <f t="shared" si="20"/>
        <v>2</v>
      </c>
      <c r="I699" s="6">
        <f t="shared" si="21"/>
        <v>0.5</v>
      </c>
    </row>
    <row r="700" spans="1:9" x14ac:dyDescent="0.2">
      <c r="A700" t="s">
        <v>2103</v>
      </c>
      <c r="B700">
        <v>1</v>
      </c>
      <c r="C700" t="s">
        <v>39</v>
      </c>
      <c r="D700" t="s">
        <v>2104</v>
      </c>
      <c r="E700" t="s">
        <v>2105</v>
      </c>
      <c r="F700" t="s">
        <v>46</v>
      </c>
      <c r="G700">
        <v>0</v>
      </c>
      <c r="H700">
        <f t="shared" si="20"/>
        <v>3</v>
      </c>
      <c r="I700" s="6">
        <f t="shared" si="21"/>
        <v>0.66666666666666663</v>
      </c>
    </row>
    <row r="701" spans="1:9" x14ac:dyDescent="0.2">
      <c r="A701" t="s">
        <v>2106</v>
      </c>
      <c r="B701">
        <v>0</v>
      </c>
      <c r="C701" t="s">
        <v>13</v>
      </c>
      <c r="D701" t="s">
        <v>2107</v>
      </c>
      <c r="E701" t="s">
        <v>2108</v>
      </c>
      <c r="F701" t="s">
        <v>194</v>
      </c>
      <c r="G701">
        <v>1</v>
      </c>
      <c r="H701">
        <f t="shared" si="20"/>
        <v>3</v>
      </c>
      <c r="I701" s="6">
        <f t="shared" si="21"/>
        <v>1</v>
      </c>
    </row>
    <row r="702" spans="1:9" x14ac:dyDescent="0.2">
      <c r="A702" t="s">
        <v>2109</v>
      </c>
      <c r="B702">
        <v>0</v>
      </c>
      <c r="C702" t="s">
        <v>80</v>
      </c>
      <c r="D702" t="s">
        <v>2110</v>
      </c>
      <c r="E702" t="s">
        <v>2111</v>
      </c>
      <c r="F702" t="s">
        <v>194</v>
      </c>
      <c r="G702">
        <v>1</v>
      </c>
      <c r="H702">
        <f t="shared" si="20"/>
        <v>3</v>
      </c>
      <c r="I702" s="6">
        <f t="shared" si="21"/>
        <v>1</v>
      </c>
    </row>
    <row r="703" spans="1:9" x14ac:dyDescent="0.2">
      <c r="A703" t="s">
        <v>2112</v>
      </c>
      <c r="B703">
        <v>8</v>
      </c>
      <c r="C703" t="s">
        <v>22</v>
      </c>
      <c r="D703" t="s">
        <v>2113</v>
      </c>
      <c r="E703" t="s">
        <v>2114</v>
      </c>
      <c r="F703" t="s">
        <v>42</v>
      </c>
      <c r="G703">
        <v>1</v>
      </c>
      <c r="H703">
        <f t="shared" si="20"/>
        <v>4</v>
      </c>
      <c r="I703" s="6">
        <f t="shared" si="21"/>
        <v>1</v>
      </c>
    </row>
    <row r="704" spans="1:9" x14ac:dyDescent="0.2">
      <c r="A704" t="s">
        <v>2115</v>
      </c>
      <c r="B704">
        <v>0</v>
      </c>
      <c r="C704" t="s">
        <v>8</v>
      </c>
      <c r="D704" t="s">
        <v>2116</v>
      </c>
      <c r="E704" t="s">
        <v>2117</v>
      </c>
      <c r="F704" t="s">
        <v>54</v>
      </c>
      <c r="G704">
        <v>1</v>
      </c>
      <c r="H704">
        <f t="shared" si="20"/>
        <v>11</v>
      </c>
      <c r="I704" s="6">
        <f t="shared" si="21"/>
        <v>0.63636363636363635</v>
      </c>
    </row>
    <row r="705" spans="1:9" x14ac:dyDescent="0.2">
      <c r="A705" t="s">
        <v>2118</v>
      </c>
      <c r="B705">
        <v>8</v>
      </c>
      <c r="C705" t="s">
        <v>22</v>
      </c>
      <c r="D705" t="s">
        <v>2119</v>
      </c>
      <c r="E705" t="s">
        <v>2120</v>
      </c>
      <c r="F705" t="s">
        <v>42</v>
      </c>
      <c r="G705">
        <v>0</v>
      </c>
      <c r="H705">
        <f t="shared" si="20"/>
        <v>4</v>
      </c>
      <c r="I705" s="6">
        <f t="shared" si="21"/>
        <v>1</v>
      </c>
    </row>
    <row r="706" spans="1:9" x14ac:dyDescent="0.2">
      <c r="A706" t="s">
        <v>2121</v>
      </c>
      <c r="B706">
        <v>9</v>
      </c>
      <c r="C706" t="s">
        <v>8</v>
      </c>
      <c r="D706" t="s">
        <v>2122</v>
      </c>
      <c r="E706" t="s">
        <v>2123</v>
      </c>
      <c r="F706" t="s">
        <v>108</v>
      </c>
      <c r="G706">
        <v>0</v>
      </c>
      <c r="H706">
        <f t="shared" ref="H706:H769" si="22">COUNTIF($F$2:$F$100, F706)</f>
        <v>2</v>
      </c>
      <c r="I706" s="6">
        <f t="shared" ref="I706:I769" si="23">SUMIFS($G$2:$G$100, $F$2:$F$100, F706) / COUNTIF($F$2:$F$100, F706)</f>
        <v>1</v>
      </c>
    </row>
    <row r="707" spans="1:9" x14ac:dyDescent="0.2">
      <c r="A707" t="s">
        <v>2124</v>
      </c>
      <c r="B707">
        <v>2</v>
      </c>
      <c r="C707" t="s">
        <v>80</v>
      </c>
      <c r="D707" t="s">
        <v>2125</v>
      </c>
      <c r="E707" t="s">
        <v>2126</v>
      </c>
      <c r="F707" t="s">
        <v>25</v>
      </c>
      <c r="G707">
        <v>1</v>
      </c>
      <c r="H707">
        <f t="shared" si="22"/>
        <v>7</v>
      </c>
      <c r="I707" s="6">
        <f t="shared" si="23"/>
        <v>0.7142857142857143</v>
      </c>
    </row>
    <row r="708" spans="1:9" x14ac:dyDescent="0.2">
      <c r="A708" t="s">
        <v>2127</v>
      </c>
      <c r="B708">
        <v>0</v>
      </c>
      <c r="C708" t="s">
        <v>13</v>
      </c>
      <c r="D708" t="s">
        <v>2128</v>
      </c>
      <c r="E708" t="s">
        <v>2129</v>
      </c>
      <c r="F708" t="s">
        <v>33</v>
      </c>
      <c r="G708">
        <v>0</v>
      </c>
      <c r="H708">
        <f t="shared" si="22"/>
        <v>4</v>
      </c>
      <c r="I708" s="6">
        <f t="shared" si="23"/>
        <v>0.5</v>
      </c>
    </row>
    <row r="709" spans="1:9" x14ac:dyDescent="0.2">
      <c r="A709" t="s">
        <v>2130</v>
      </c>
      <c r="B709">
        <v>0</v>
      </c>
      <c r="C709" t="s">
        <v>22</v>
      </c>
      <c r="D709" t="s">
        <v>2131</v>
      </c>
      <c r="E709" t="s">
        <v>2132</v>
      </c>
      <c r="F709" t="s">
        <v>62</v>
      </c>
      <c r="G709">
        <v>1</v>
      </c>
      <c r="H709">
        <f t="shared" si="22"/>
        <v>6</v>
      </c>
      <c r="I709" s="6">
        <f t="shared" si="23"/>
        <v>0.5</v>
      </c>
    </row>
    <row r="710" spans="1:9" x14ac:dyDescent="0.2">
      <c r="A710" t="s">
        <v>2133</v>
      </c>
      <c r="B710">
        <v>6</v>
      </c>
      <c r="C710" t="s">
        <v>22</v>
      </c>
      <c r="D710" t="s">
        <v>2134</v>
      </c>
      <c r="E710" t="s">
        <v>2135</v>
      </c>
      <c r="F710" t="s">
        <v>221</v>
      </c>
      <c r="G710">
        <v>0</v>
      </c>
      <c r="H710">
        <f t="shared" si="22"/>
        <v>3</v>
      </c>
      <c r="I710" s="6">
        <f t="shared" si="23"/>
        <v>0.66666666666666663</v>
      </c>
    </row>
    <row r="711" spans="1:9" x14ac:dyDescent="0.2">
      <c r="A711" t="s">
        <v>2136</v>
      </c>
      <c r="B711">
        <v>3</v>
      </c>
      <c r="C711" t="s">
        <v>39</v>
      </c>
      <c r="D711" t="s">
        <v>2137</v>
      </c>
      <c r="E711" t="s">
        <v>2138</v>
      </c>
      <c r="F711" t="s">
        <v>54</v>
      </c>
      <c r="G711">
        <v>0</v>
      </c>
      <c r="H711">
        <f t="shared" si="22"/>
        <v>11</v>
      </c>
      <c r="I711" s="6">
        <f t="shared" si="23"/>
        <v>0.63636363636363635</v>
      </c>
    </row>
    <row r="712" spans="1:9" x14ac:dyDescent="0.2">
      <c r="A712" t="s">
        <v>2139</v>
      </c>
      <c r="B712">
        <v>9</v>
      </c>
      <c r="C712" t="s">
        <v>22</v>
      </c>
      <c r="D712" t="s">
        <v>2140</v>
      </c>
      <c r="E712" t="s">
        <v>2141</v>
      </c>
      <c r="F712" t="s">
        <v>104</v>
      </c>
      <c r="G712">
        <v>1</v>
      </c>
      <c r="H712">
        <f t="shared" si="22"/>
        <v>4</v>
      </c>
      <c r="I712" s="6">
        <f t="shared" si="23"/>
        <v>0.25</v>
      </c>
    </row>
    <row r="713" spans="1:9" x14ac:dyDescent="0.2">
      <c r="A713" t="s">
        <v>2142</v>
      </c>
      <c r="B713">
        <v>0</v>
      </c>
      <c r="C713" t="s">
        <v>22</v>
      </c>
      <c r="D713" t="s">
        <v>2143</v>
      </c>
      <c r="E713" t="s">
        <v>2144</v>
      </c>
      <c r="F713" t="s">
        <v>25</v>
      </c>
      <c r="G713">
        <v>1</v>
      </c>
      <c r="H713">
        <f t="shared" si="22"/>
        <v>7</v>
      </c>
      <c r="I713" s="6">
        <f t="shared" si="23"/>
        <v>0.7142857142857143</v>
      </c>
    </row>
    <row r="714" spans="1:9" x14ac:dyDescent="0.2">
      <c r="A714" t="s">
        <v>2145</v>
      </c>
      <c r="B714">
        <v>0</v>
      </c>
      <c r="C714" t="s">
        <v>22</v>
      </c>
      <c r="D714" t="s">
        <v>2146</v>
      </c>
      <c r="E714" t="s">
        <v>2147</v>
      </c>
      <c r="F714" t="s">
        <v>58</v>
      </c>
      <c r="G714">
        <v>1</v>
      </c>
      <c r="H714">
        <f t="shared" si="22"/>
        <v>2</v>
      </c>
      <c r="I714" s="6">
        <f t="shared" si="23"/>
        <v>1</v>
      </c>
    </row>
    <row r="715" spans="1:9" x14ac:dyDescent="0.2">
      <c r="A715" t="s">
        <v>2148</v>
      </c>
      <c r="B715">
        <v>8</v>
      </c>
      <c r="C715" t="s">
        <v>80</v>
      </c>
      <c r="D715" t="s">
        <v>2149</v>
      </c>
      <c r="E715" t="s">
        <v>2150</v>
      </c>
      <c r="F715" t="s">
        <v>50</v>
      </c>
      <c r="G715">
        <v>1</v>
      </c>
      <c r="H715">
        <f t="shared" si="22"/>
        <v>2</v>
      </c>
      <c r="I715" s="6">
        <f t="shared" si="23"/>
        <v>0.5</v>
      </c>
    </row>
    <row r="716" spans="1:9" x14ac:dyDescent="0.2">
      <c r="A716" t="s">
        <v>2151</v>
      </c>
      <c r="B716">
        <v>8</v>
      </c>
      <c r="C716" t="s">
        <v>13</v>
      </c>
      <c r="D716" t="s">
        <v>2152</v>
      </c>
      <c r="E716" t="s">
        <v>2153</v>
      </c>
      <c r="F716" t="s">
        <v>72</v>
      </c>
      <c r="G716">
        <v>1</v>
      </c>
      <c r="H716">
        <f t="shared" si="22"/>
        <v>4</v>
      </c>
      <c r="I716" s="6">
        <f t="shared" si="23"/>
        <v>0.5</v>
      </c>
    </row>
    <row r="717" spans="1:9" x14ac:dyDescent="0.2">
      <c r="A717" t="s">
        <v>2154</v>
      </c>
      <c r="B717">
        <v>3</v>
      </c>
      <c r="C717" t="s">
        <v>80</v>
      </c>
      <c r="D717" t="s">
        <v>2155</v>
      </c>
      <c r="E717" t="s">
        <v>2156</v>
      </c>
      <c r="F717" t="s">
        <v>104</v>
      </c>
      <c r="G717">
        <v>1</v>
      </c>
      <c r="H717">
        <f t="shared" si="22"/>
        <v>4</v>
      </c>
      <c r="I717" s="6">
        <f t="shared" si="23"/>
        <v>0.25</v>
      </c>
    </row>
    <row r="718" spans="1:9" x14ac:dyDescent="0.2">
      <c r="A718" t="s">
        <v>2157</v>
      </c>
      <c r="B718">
        <v>8</v>
      </c>
      <c r="C718" t="s">
        <v>80</v>
      </c>
      <c r="D718" t="s">
        <v>2158</v>
      </c>
      <c r="E718" t="s">
        <v>2159</v>
      </c>
      <c r="F718" t="s">
        <v>142</v>
      </c>
      <c r="G718">
        <v>0</v>
      </c>
      <c r="H718">
        <f t="shared" si="22"/>
        <v>5</v>
      </c>
      <c r="I718" s="6">
        <f t="shared" si="23"/>
        <v>0.4</v>
      </c>
    </row>
    <row r="719" spans="1:9" x14ac:dyDescent="0.2">
      <c r="A719" t="s">
        <v>2160</v>
      </c>
      <c r="B719">
        <v>3</v>
      </c>
      <c r="C719" t="s">
        <v>80</v>
      </c>
      <c r="D719" t="s">
        <v>2161</v>
      </c>
      <c r="E719" t="s">
        <v>2162</v>
      </c>
      <c r="F719" t="s">
        <v>16</v>
      </c>
      <c r="G719">
        <v>0</v>
      </c>
      <c r="H719">
        <f t="shared" si="22"/>
        <v>5</v>
      </c>
      <c r="I719" s="6">
        <f t="shared" si="23"/>
        <v>0.6</v>
      </c>
    </row>
    <row r="720" spans="1:9" x14ac:dyDescent="0.2">
      <c r="A720" t="s">
        <v>2163</v>
      </c>
      <c r="B720">
        <v>11</v>
      </c>
      <c r="C720" t="s">
        <v>13</v>
      </c>
      <c r="D720" t="s">
        <v>2164</v>
      </c>
      <c r="E720" t="s">
        <v>2165</v>
      </c>
      <c r="F720" t="s">
        <v>25</v>
      </c>
      <c r="G720">
        <v>0</v>
      </c>
      <c r="H720">
        <f t="shared" si="22"/>
        <v>7</v>
      </c>
      <c r="I720" s="6">
        <f t="shared" si="23"/>
        <v>0.7142857142857143</v>
      </c>
    </row>
    <row r="721" spans="1:9" x14ac:dyDescent="0.2">
      <c r="A721" t="s">
        <v>2166</v>
      </c>
      <c r="B721">
        <v>4</v>
      </c>
      <c r="C721" t="s">
        <v>39</v>
      </c>
      <c r="D721" t="s">
        <v>2167</v>
      </c>
      <c r="E721" t="s">
        <v>2168</v>
      </c>
      <c r="F721" t="s">
        <v>58</v>
      </c>
      <c r="G721">
        <v>0</v>
      </c>
      <c r="H721">
        <f t="shared" si="22"/>
        <v>2</v>
      </c>
      <c r="I721" s="6">
        <f t="shared" si="23"/>
        <v>1</v>
      </c>
    </row>
    <row r="722" spans="1:9" x14ac:dyDescent="0.2">
      <c r="A722" t="s">
        <v>2169</v>
      </c>
      <c r="B722">
        <v>2</v>
      </c>
      <c r="C722" t="s">
        <v>8</v>
      </c>
      <c r="D722" t="s">
        <v>2170</v>
      </c>
      <c r="E722" t="s">
        <v>2171</v>
      </c>
      <c r="F722" t="s">
        <v>25</v>
      </c>
      <c r="G722">
        <v>0</v>
      </c>
      <c r="H722">
        <f t="shared" si="22"/>
        <v>7</v>
      </c>
      <c r="I722" s="6">
        <f t="shared" si="23"/>
        <v>0.7142857142857143</v>
      </c>
    </row>
    <row r="723" spans="1:9" x14ac:dyDescent="0.2">
      <c r="A723" t="s">
        <v>2172</v>
      </c>
      <c r="B723">
        <v>5</v>
      </c>
      <c r="C723" t="s">
        <v>8</v>
      </c>
      <c r="D723" t="s">
        <v>2173</v>
      </c>
      <c r="E723" t="s">
        <v>2174</v>
      </c>
      <c r="F723" t="s">
        <v>211</v>
      </c>
      <c r="G723">
        <v>0</v>
      </c>
      <c r="H723">
        <f t="shared" si="22"/>
        <v>3</v>
      </c>
      <c r="I723" s="6">
        <f t="shared" si="23"/>
        <v>0.33333333333333331</v>
      </c>
    </row>
    <row r="724" spans="1:9" x14ac:dyDescent="0.2">
      <c r="A724" t="s">
        <v>2175</v>
      </c>
      <c r="B724">
        <v>2</v>
      </c>
      <c r="C724" t="s">
        <v>13</v>
      </c>
      <c r="D724" t="s">
        <v>2176</v>
      </c>
      <c r="E724" t="s">
        <v>2177</v>
      </c>
      <c r="F724" t="s">
        <v>72</v>
      </c>
      <c r="G724">
        <v>0</v>
      </c>
      <c r="H724">
        <f t="shared" si="22"/>
        <v>4</v>
      </c>
      <c r="I724" s="6">
        <f t="shared" si="23"/>
        <v>0.5</v>
      </c>
    </row>
    <row r="725" spans="1:9" x14ac:dyDescent="0.2">
      <c r="A725" t="s">
        <v>2178</v>
      </c>
      <c r="B725">
        <v>5</v>
      </c>
      <c r="C725" t="s">
        <v>39</v>
      </c>
      <c r="D725" t="s">
        <v>2179</v>
      </c>
      <c r="E725" t="s">
        <v>2180</v>
      </c>
      <c r="F725" t="s">
        <v>50</v>
      </c>
      <c r="G725">
        <v>0</v>
      </c>
      <c r="H725">
        <f t="shared" si="22"/>
        <v>2</v>
      </c>
      <c r="I725" s="6">
        <f t="shared" si="23"/>
        <v>0.5</v>
      </c>
    </row>
    <row r="726" spans="1:9" x14ac:dyDescent="0.2">
      <c r="A726" t="s">
        <v>2181</v>
      </c>
      <c r="B726">
        <v>6</v>
      </c>
      <c r="C726" t="s">
        <v>8</v>
      </c>
      <c r="D726" t="s">
        <v>2182</v>
      </c>
      <c r="E726" t="s">
        <v>2183</v>
      </c>
      <c r="F726" t="s">
        <v>207</v>
      </c>
      <c r="G726">
        <v>1</v>
      </c>
      <c r="H726">
        <f t="shared" si="22"/>
        <v>3</v>
      </c>
      <c r="I726" s="6">
        <f t="shared" si="23"/>
        <v>1</v>
      </c>
    </row>
    <row r="727" spans="1:9" x14ac:dyDescent="0.2">
      <c r="A727" t="s">
        <v>2184</v>
      </c>
      <c r="B727">
        <v>1</v>
      </c>
      <c r="C727" t="s">
        <v>13</v>
      </c>
      <c r="D727" t="s">
        <v>2185</v>
      </c>
      <c r="E727" t="s">
        <v>2186</v>
      </c>
      <c r="F727" t="s">
        <v>211</v>
      </c>
      <c r="G727">
        <v>1</v>
      </c>
      <c r="H727">
        <f t="shared" si="22"/>
        <v>3</v>
      </c>
      <c r="I727" s="6">
        <f t="shared" si="23"/>
        <v>0.33333333333333331</v>
      </c>
    </row>
    <row r="728" spans="1:9" x14ac:dyDescent="0.2">
      <c r="A728" t="s">
        <v>2187</v>
      </c>
      <c r="B728">
        <v>0</v>
      </c>
      <c r="C728" t="s">
        <v>80</v>
      </c>
      <c r="D728" t="s">
        <v>2188</v>
      </c>
      <c r="E728" t="s">
        <v>2189</v>
      </c>
      <c r="F728" t="s">
        <v>16</v>
      </c>
      <c r="G728">
        <v>0</v>
      </c>
      <c r="H728">
        <f t="shared" si="22"/>
        <v>5</v>
      </c>
      <c r="I728" s="6">
        <f t="shared" si="23"/>
        <v>0.6</v>
      </c>
    </row>
    <row r="729" spans="1:9" x14ac:dyDescent="0.2">
      <c r="A729" t="s">
        <v>2190</v>
      </c>
      <c r="B729">
        <v>9</v>
      </c>
      <c r="C729" t="s">
        <v>80</v>
      </c>
      <c r="D729" t="s">
        <v>2191</v>
      </c>
      <c r="E729" t="s">
        <v>2192</v>
      </c>
      <c r="F729" t="s">
        <v>62</v>
      </c>
      <c r="G729">
        <v>0</v>
      </c>
      <c r="H729">
        <f t="shared" si="22"/>
        <v>6</v>
      </c>
      <c r="I729" s="6">
        <f t="shared" si="23"/>
        <v>0.5</v>
      </c>
    </row>
    <row r="730" spans="1:9" x14ac:dyDescent="0.2">
      <c r="A730" t="s">
        <v>2193</v>
      </c>
      <c r="B730">
        <v>3</v>
      </c>
      <c r="C730" t="s">
        <v>22</v>
      </c>
      <c r="D730" t="s">
        <v>2194</v>
      </c>
      <c r="E730" t="s">
        <v>2195</v>
      </c>
      <c r="F730" t="s">
        <v>25</v>
      </c>
      <c r="G730">
        <v>1</v>
      </c>
      <c r="H730">
        <f t="shared" si="22"/>
        <v>7</v>
      </c>
      <c r="I730" s="6">
        <f t="shared" si="23"/>
        <v>0.7142857142857143</v>
      </c>
    </row>
    <row r="731" spans="1:9" x14ac:dyDescent="0.2">
      <c r="A731" t="s">
        <v>2196</v>
      </c>
      <c r="B731">
        <v>1</v>
      </c>
      <c r="C731" t="s">
        <v>39</v>
      </c>
      <c r="D731" t="s">
        <v>2197</v>
      </c>
      <c r="E731" t="s">
        <v>2198</v>
      </c>
      <c r="F731" t="s">
        <v>62</v>
      </c>
      <c r="G731">
        <v>1</v>
      </c>
      <c r="H731">
        <f t="shared" si="22"/>
        <v>6</v>
      </c>
      <c r="I731" s="6">
        <f t="shared" si="23"/>
        <v>0.5</v>
      </c>
    </row>
    <row r="732" spans="1:9" x14ac:dyDescent="0.2">
      <c r="A732" t="s">
        <v>2199</v>
      </c>
      <c r="B732">
        <v>3</v>
      </c>
      <c r="C732" t="s">
        <v>80</v>
      </c>
      <c r="D732" t="s">
        <v>2200</v>
      </c>
      <c r="E732" t="s">
        <v>2201</v>
      </c>
      <c r="F732" t="s">
        <v>20</v>
      </c>
      <c r="G732">
        <v>1</v>
      </c>
      <c r="H732">
        <f t="shared" si="22"/>
        <v>8</v>
      </c>
      <c r="I732" s="6">
        <f t="shared" si="23"/>
        <v>0.5</v>
      </c>
    </row>
    <row r="733" spans="1:9" x14ac:dyDescent="0.2">
      <c r="A733" t="s">
        <v>2202</v>
      </c>
      <c r="B733">
        <v>6</v>
      </c>
      <c r="C733" t="s">
        <v>13</v>
      </c>
      <c r="D733" t="s">
        <v>2203</v>
      </c>
      <c r="E733" t="s">
        <v>2204</v>
      </c>
      <c r="F733" t="s">
        <v>16</v>
      </c>
      <c r="G733">
        <v>1</v>
      </c>
      <c r="H733">
        <f t="shared" si="22"/>
        <v>5</v>
      </c>
      <c r="I733" s="6">
        <f t="shared" si="23"/>
        <v>0.6</v>
      </c>
    </row>
    <row r="734" spans="1:9" x14ac:dyDescent="0.2">
      <c r="A734" t="s">
        <v>2205</v>
      </c>
      <c r="B734">
        <v>2</v>
      </c>
      <c r="C734" t="s">
        <v>80</v>
      </c>
      <c r="D734" t="s">
        <v>2206</v>
      </c>
      <c r="E734" t="s">
        <v>2207</v>
      </c>
      <c r="F734" t="s">
        <v>104</v>
      </c>
      <c r="G734">
        <v>1</v>
      </c>
      <c r="H734">
        <f t="shared" si="22"/>
        <v>4</v>
      </c>
      <c r="I734" s="6">
        <f t="shared" si="23"/>
        <v>0.25</v>
      </c>
    </row>
    <row r="735" spans="1:9" x14ac:dyDescent="0.2">
      <c r="A735" t="s">
        <v>2208</v>
      </c>
      <c r="B735">
        <v>6</v>
      </c>
      <c r="C735" t="s">
        <v>8</v>
      </c>
      <c r="D735" t="s">
        <v>2209</v>
      </c>
      <c r="E735" t="s">
        <v>2210</v>
      </c>
      <c r="F735" t="s">
        <v>194</v>
      </c>
      <c r="G735">
        <v>1</v>
      </c>
      <c r="H735">
        <f t="shared" si="22"/>
        <v>3</v>
      </c>
      <c r="I735" s="6">
        <f t="shared" si="23"/>
        <v>1</v>
      </c>
    </row>
    <row r="736" spans="1:9" x14ac:dyDescent="0.2">
      <c r="A736" t="s">
        <v>2211</v>
      </c>
      <c r="B736">
        <v>0</v>
      </c>
      <c r="C736" t="s">
        <v>8</v>
      </c>
      <c r="D736" t="s">
        <v>2212</v>
      </c>
      <c r="E736" t="s">
        <v>2213</v>
      </c>
      <c r="F736" t="s">
        <v>72</v>
      </c>
      <c r="G736">
        <v>0</v>
      </c>
      <c r="H736">
        <f t="shared" si="22"/>
        <v>4</v>
      </c>
      <c r="I736" s="6">
        <f t="shared" si="23"/>
        <v>0.5</v>
      </c>
    </row>
    <row r="737" spans="1:9" x14ac:dyDescent="0.2">
      <c r="A737" t="s">
        <v>2214</v>
      </c>
      <c r="B737">
        <v>9</v>
      </c>
      <c r="C737" t="s">
        <v>80</v>
      </c>
      <c r="D737" t="s">
        <v>2215</v>
      </c>
      <c r="E737" t="s">
        <v>2216</v>
      </c>
      <c r="F737" t="s">
        <v>207</v>
      </c>
      <c r="G737">
        <v>0</v>
      </c>
      <c r="H737">
        <f t="shared" si="22"/>
        <v>3</v>
      </c>
      <c r="I737" s="6">
        <f t="shared" si="23"/>
        <v>1</v>
      </c>
    </row>
    <row r="738" spans="1:9" x14ac:dyDescent="0.2">
      <c r="A738" t="s">
        <v>2217</v>
      </c>
      <c r="B738">
        <v>5</v>
      </c>
      <c r="C738" t="s">
        <v>39</v>
      </c>
      <c r="D738" t="s">
        <v>2218</v>
      </c>
      <c r="E738" t="s">
        <v>2219</v>
      </c>
      <c r="F738" t="s">
        <v>46</v>
      </c>
      <c r="G738">
        <v>1</v>
      </c>
      <c r="H738">
        <f t="shared" si="22"/>
        <v>3</v>
      </c>
      <c r="I738" s="6">
        <f t="shared" si="23"/>
        <v>0.66666666666666663</v>
      </c>
    </row>
    <row r="739" spans="1:9" x14ac:dyDescent="0.2">
      <c r="A739" t="s">
        <v>2220</v>
      </c>
      <c r="B739">
        <v>6</v>
      </c>
      <c r="C739" t="s">
        <v>8</v>
      </c>
      <c r="D739" t="s">
        <v>2221</v>
      </c>
      <c r="E739" t="s">
        <v>2222</v>
      </c>
      <c r="F739" t="s">
        <v>62</v>
      </c>
      <c r="G739">
        <v>0</v>
      </c>
      <c r="H739">
        <f t="shared" si="22"/>
        <v>6</v>
      </c>
      <c r="I739" s="6">
        <f t="shared" si="23"/>
        <v>0.5</v>
      </c>
    </row>
    <row r="740" spans="1:9" x14ac:dyDescent="0.2">
      <c r="A740" t="s">
        <v>2223</v>
      </c>
      <c r="B740">
        <v>1</v>
      </c>
      <c r="C740" t="s">
        <v>13</v>
      </c>
      <c r="D740" t="s">
        <v>2224</v>
      </c>
      <c r="E740" t="s">
        <v>2225</v>
      </c>
      <c r="F740" t="s">
        <v>25</v>
      </c>
      <c r="G740">
        <v>1</v>
      </c>
      <c r="H740">
        <f t="shared" si="22"/>
        <v>7</v>
      </c>
      <c r="I740" s="6">
        <f t="shared" si="23"/>
        <v>0.7142857142857143</v>
      </c>
    </row>
    <row r="741" spans="1:9" x14ac:dyDescent="0.2">
      <c r="A741" t="s">
        <v>2226</v>
      </c>
      <c r="B741">
        <v>9</v>
      </c>
      <c r="C741" t="s">
        <v>22</v>
      </c>
      <c r="D741" t="s">
        <v>2227</v>
      </c>
      <c r="E741" t="s">
        <v>2228</v>
      </c>
      <c r="F741" t="s">
        <v>62</v>
      </c>
      <c r="G741">
        <v>0</v>
      </c>
      <c r="H741">
        <f t="shared" si="22"/>
        <v>6</v>
      </c>
      <c r="I741" s="6">
        <f t="shared" si="23"/>
        <v>0.5</v>
      </c>
    </row>
    <row r="742" spans="1:9" x14ac:dyDescent="0.2">
      <c r="A742" t="s">
        <v>2229</v>
      </c>
      <c r="B742">
        <v>1</v>
      </c>
      <c r="C742" t="s">
        <v>13</v>
      </c>
      <c r="D742" t="s">
        <v>2230</v>
      </c>
      <c r="E742" t="s">
        <v>2231</v>
      </c>
      <c r="F742" t="s">
        <v>194</v>
      </c>
      <c r="G742">
        <v>0</v>
      </c>
      <c r="H742">
        <f t="shared" si="22"/>
        <v>3</v>
      </c>
      <c r="I742" s="6">
        <f t="shared" si="23"/>
        <v>1</v>
      </c>
    </row>
    <row r="743" spans="1:9" x14ac:dyDescent="0.2">
      <c r="A743" t="s">
        <v>2232</v>
      </c>
      <c r="B743">
        <v>0</v>
      </c>
      <c r="C743" t="s">
        <v>13</v>
      </c>
      <c r="D743" t="s">
        <v>2233</v>
      </c>
      <c r="E743" t="s">
        <v>2234</v>
      </c>
      <c r="F743" t="s">
        <v>16</v>
      </c>
      <c r="G743">
        <v>1</v>
      </c>
      <c r="H743">
        <f t="shared" si="22"/>
        <v>5</v>
      </c>
      <c r="I743" s="6">
        <f t="shared" si="23"/>
        <v>0.6</v>
      </c>
    </row>
    <row r="744" spans="1:9" x14ac:dyDescent="0.2">
      <c r="A744" t="s">
        <v>2235</v>
      </c>
      <c r="B744">
        <v>1</v>
      </c>
      <c r="C744" t="s">
        <v>22</v>
      </c>
      <c r="D744" t="s">
        <v>2236</v>
      </c>
      <c r="E744" t="s">
        <v>2237</v>
      </c>
      <c r="F744" t="s">
        <v>58</v>
      </c>
      <c r="G744">
        <v>1</v>
      </c>
      <c r="H744">
        <f t="shared" si="22"/>
        <v>2</v>
      </c>
      <c r="I744" s="6">
        <f t="shared" si="23"/>
        <v>1</v>
      </c>
    </row>
    <row r="745" spans="1:9" x14ac:dyDescent="0.2">
      <c r="A745" t="s">
        <v>2238</v>
      </c>
      <c r="B745">
        <v>9</v>
      </c>
      <c r="C745" t="s">
        <v>8</v>
      </c>
      <c r="D745" t="s">
        <v>2239</v>
      </c>
      <c r="E745" t="s">
        <v>2240</v>
      </c>
      <c r="F745" t="s">
        <v>11</v>
      </c>
      <c r="G745">
        <v>0</v>
      </c>
      <c r="H745">
        <f t="shared" si="22"/>
        <v>4</v>
      </c>
      <c r="I745" s="6">
        <f t="shared" si="23"/>
        <v>0.5</v>
      </c>
    </row>
    <row r="746" spans="1:9" x14ac:dyDescent="0.2">
      <c r="A746" t="s">
        <v>2241</v>
      </c>
      <c r="B746">
        <v>6</v>
      </c>
      <c r="C746" t="s">
        <v>80</v>
      </c>
      <c r="D746" t="s">
        <v>2242</v>
      </c>
      <c r="E746" t="s">
        <v>2243</v>
      </c>
      <c r="F746" t="s">
        <v>194</v>
      </c>
      <c r="G746">
        <v>1</v>
      </c>
      <c r="H746">
        <f t="shared" si="22"/>
        <v>3</v>
      </c>
      <c r="I746" s="6">
        <f t="shared" si="23"/>
        <v>1</v>
      </c>
    </row>
    <row r="747" spans="1:9" x14ac:dyDescent="0.2">
      <c r="A747" t="s">
        <v>2244</v>
      </c>
      <c r="B747">
        <v>4</v>
      </c>
      <c r="C747" t="s">
        <v>13</v>
      </c>
      <c r="D747" t="s">
        <v>2245</v>
      </c>
      <c r="E747" t="s">
        <v>1312</v>
      </c>
      <c r="F747" t="s">
        <v>211</v>
      </c>
      <c r="G747">
        <v>1</v>
      </c>
      <c r="H747">
        <f t="shared" si="22"/>
        <v>3</v>
      </c>
      <c r="I747" s="6">
        <f t="shared" si="23"/>
        <v>0.33333333333333331</v>
      </c>
    </row>
    <row r="748" spans="1:9" x14ac:dyDescent="0.2">
      <c r="A748" t="s">
        <v>2246</v>
      </c>
      <c r="B748">
        <v>10</v>
      </c>
      <c r="C748" t="s">
        <v>22</v>
      </c>
      <c r="D748" t="s">
        <v>2247</v>
      </c>
      <c r="E748" t="s">
        <v>2248</v>
      </c>
      <c r="F748" t="s">
        <v>50</v>
      </c>
      <c r="G748">
        <v>1</v>
      </c>
      <c r="H748">
        <f t="shared" si="22"/>
        <v>2</v>
      </c>
      <c r="I748" s="6">
        <f t="shared" si="23"/>
        <v>0.5</v>
      </c>
    </row>
    <row r="749" spans="1:9" x14ac:dyDescent="0.2">
      <c r="A749" t="s">
        <v>2249</v>
      </c>
      <c r="B749">
        <v>7</v>
      </c>
      <c r="C749" t="s">
        <v>13</v>
      </c>
      <c r="D749" t="s">
        <v>2250</v>
      </c>
      <c r="E749" t="s">
        <v>2251</v>
      </c>
      <c r="F749" t="s">
        <v>194</v>
      </c>
      <c r="G749">
        <v>0</v>
      </c>
      <c r="H749">
        <f t="shared" si="22"/>
        <v>3</v>
      </c>
      <c r="I749" s="6">
        <f t="shared" si="23"/>
        <v>1</v>
      </c>
    </row>
    <row r="750" spans="1:9" x14ac:dyDescent="0.2">
      <c r="A750" t="s">
        <v>2252</v>
      </c>
      <c r="B750">
        <v>1</v>
      </c>
      <c r="C750" t="s">
        <v>22</v>
      </c>
      <c r="D750" t="s">
        <v>2253</v>
      </c>
      <c r="E750" t="s">
        <v>2254</v>
      </c>
      <c r="F750" t="s">
        <v>104</v>
      </c>
      <c r="G750">
        <v>1</v>
      </c>
      <c r="H750">
        <f t="shared" si="22"/>
        <v>4</v>
      </c>
      <c r="I750" s="6">
        <f t="shared" si="23"/>
        <v>0.25</v>
      </c>
    </row>
    <row r="751" spans="1:9" x14ac:dyDescent="0.2">
      <c r="A751" t="s">
        <v>2255</v>
      </c>
      <c r="B751">
        <v>1</v>
      </c>
      <c r="C751" t="s">
        <v>39</v>
      </c>
      <c r="D751" t="s">
        <v>2256</v>
      </c>
      <c r="E751" t="s">
        <v>2257</v>
      </c>
      <c r="F751" t="s">
        <v>221</v>
      </c>
      <c r="G751">
        <v>0</v>
      </c>
      <c r="H751">
        <f t="shared" si="22"/>
        <v>3</v>
      </c>
      <c r="I751" s="6">
        <f t="shared" si="23"/>
        <v>0.66666666666666663</v>
      </c>
    </row>
    <row r="752" spans="1:9" x14ac:dyDescent="0.2">
      <c r="A752" t="s">
        <v>2258</v>
      </c>
      <c r="B752">
        <v>1</v>
      </c>
      <c r="C752" t="s">
        <v>13</v>
      </c>
      <c r="D752" t="s">
        <v>2259</v>
      </c>
      <c r="E752" t="s">
        <v>2260</v>
      </c>
      <c r="F752" t="s">
        <v>194</v>
      </c>
      <c r="G752">
        <v>0</v>
      </c>
      <c r="H752">
        <f t="shared" si="22"/>
        <v>3</v>
      </c>
      <c r="I752" s="6">
        <f t="shared" si="23"/>
        <v>1</v>
      </c>
    </row>
    <row r="753" spans="1:9" x14ac:dyDescent="0.2">
      <c r="A753" t="s">
        <v>2261</v>
      </c>
      <c r="B753">
        <v>7</v>
      </c>
      <c r="C753" t="s">
        <v>80</v>
      </c>
      <c r="D753" t="s">
        <v>2262</v>
      </c>
      <c r="E753" t="s">
        <v>2263</v>
      </c>
      <c r="F753" t="s">
        <v>46</v>
      </c>
      <c r="G753">
        <v>1</v>
      </c>
      <c r="H753">
        <f t="shared" si="22"/>
        <v>3</v>
      </c>
      <c r="I753" s="6">
        <f t="shared" si="23"/>
        <v>0.66666666666666663</v>
      </c>
    </row>
    <row r="754" spans="1:9" x14ac:dyDescent="0.2">
      <c r="A754" t="s">
        <v>2264</v>
      </c>
      <c r="B754">
        <v>11</v>
      </c>
      <c r="C754" t="s">
        <v>8</v>
      </c>
      <c r="D754" t="s">
        <v>2265</v>
      </c>
      <c r="E754" t="s">
        <v>2266</v>
      </c>
      <c r="F754" t="s">
        <v>11</v>
      </c>
      <c r="G754">
        <v>1</v>
      </c>
      <c r="H754">
        <f t="shared" si="22"/>
        <v>4</v>
      </c>
      <c r="I754" s="6">
        <f t="shared" si="23"/>
        <v>0.5</v>
      </c>
    </row>
    <row r="755" spans="1:9" x14ac:dyDescent="0.2">
      <c r="A755" t="s">
        <v>2267</v>
      </c>
      <c r="B755">
        <v>0</v>
      </c>
      <c r="C755" t="s">
        <v>13</v>
      </c>
      <c r="D755" t="s">
        <v>2268</v>
      </c>
      <c r="E755" t="s">
        <v>2269</v>
      </c>
      <c r="F755" t="s">
        <v>207</v>
      </c>
      <c r="G755">
        <v>1</v>
      </c>
      <c r="H755">
        <f t="shared" si="22"/>
        <v>3</v>
      </c>
      <c r="I755" s="6">
        <f t="shared" si="23"/>
        <v>1</v>
      </c>
    </row>
    <row r="756" spans="1:9" x14ac:dyDescent="0.2">
      <c r="A756" t="s">
        <v>2270</v>
      </c>
      <c r="B756">
        <v>1</v>
      </c>
      <c r="C756" t="s">
        <v>80</v>
      </c>
      <c r="D756" t="s">
        <v>2271</v>
      </c>
      <c r="E756" t="s">
        <v>2272</v>
      </c>
      <c r="F756" t="s">
        <v>54</v>
      </c>
      <c r="G756">
        <v>1</v>
      </c>
      <c r="H756">
        <f t="shared" si="22"/>
        <v>11</v>
      </c>
      <c r="I756" s="6">
        <f t="shared" si="23"/>
        <v>0.63636363636363635</v>
      </c>
    </row>
    <row r="757" spans="1:9" x14ac:dyDescent="0.2">
      <c r="A757" t="s">
        <v>2273</v>
      </c>
      <c r="B757">
        <v>1</v>
      </c>
      <c r="C757" t="s">
        <v>80</v>
      </c>
      <c r="D757" t="s">
        <v>2274</v>
      </c>
      <c r="E757" t="s">
        <v>2275</v>
      </c>
      <c r="F757" t="s">
        <v>221</v>
      </c>
      <c r="G757">
        <v>1</v>
      </c>
      <c r="H757">
        <f t="shared" si="22"/>
        <v>3</v>
      </c>
      <c r="I757" s="6">
        <f t="shared" si="23"/>
        <v>0.66666666666666663</v>
      </c>
    </row>
    <row r="758" spans="1:9" x14ac:dyDescent="0.2">
      <c r="A758" t="s">
        <v>2276</v>
      </c>
      <c r="B758">
        <v>0</v>
      </c>
      <c r="C758" t="s">
        <v>8</v>
      </c>
      <c r="D758" t="s">
        <v>2277</v>
      </c>
      <c r="E758" t="s">
        <v>2060</v>
      </c>
      <c r="F758" t="s">
        <v>142</v>
      </c>
      <c r="G758">
        <v>1</v>
      </c>
      <c r="H758">
        <f t="shared" si="22"/>
        <v>5</v>
      </c>
      <c r="I758" s="6">
        <f t="shared" si="23"/>
        <v>0.4</v>
      </c>
    </row>
    <row r="759" spans="1:9" x14ac:dyDescent="0.2">
      <c r="A759" t="s">
        <v>2278</v>
      </c>
      <c r="B759">
        <v>6</v>
      </c>
      <c r="C759" t="s">
        <v>80</v>
      </c>
      <c r="D759" t="s">
        <v>2279</v>
      </c>
      <c r="E759" t="s">
        <v>2280</v>
      </c>
      <c r="F759" t="s">
        <v>211</v>
      </c>
      <c r="G759">
        <v>0</v>
      </c>
      <c r="H759">
        <f t="shared" si="22"/>
        <v>3</v>
      </c>
      <c r="I759" s="6">
        <f t="shared" si="23"/>
        <v>0.33333333333333331</v>
      </c>
    </row>
    <row r="760" spans="1:9" x14ac:dyDescent="0.2">
      <c r="A760" t="s">
        <v>2281</v>
      </c>
      <c r="B760">
        <v>0</v>
      </c>
      <c r="C760" t="s">
        <v>39</v>
      </c>
      <c r="D760" t="s">
        <v>2282</v>
      </c>
      <c r="E760" t="s">
        <v>2283</v>
      </c>
      <c r="F760" t="s">
        <v>211</v>
      </c>
      <c r="G760">
        <v>0</v>
      </c>
      <c r="H760">
        <f t="shared" si="22"/>
        <v>3</v>
      </c>
      <c r="I760" s="6">
        <f t="shared" si="23"/>
        <v>0.33333333333333331</v>
      </c>
    </row>
    <row r="761" spans="1:9" x14ac:dyDescent="0.2">
      <c r="A761" t="s">
        <v>2284</v>
      </c>
      <c r="B761">
        <v>5</v>
      </c>
      <c r="C761" t="s">
        <v>13</v>
      </c>
      <c r="D761" t="s">
        <v>2285</v>
      </c>
      <c r="E761" t="s">
        <v>2286</v>
      </c>
      <c r="F761" t="s">
        <v>29</v>
      </c>
      <c r="G761">
        <v>1</v>
      </c>
      <c r="H761">
        <f t="shared" si="22"/>
        <v>8</v>
      </c>
      <c r="I761" s="6">
        <f t="shared" si="23"/>
        <v>0.875</v>
      </c>
    </row>
    <row r="762" spans="1:9" x14ac:dyDescent="0.2">
      <c r="A762" t="s">
        <v>2287</v>
      </c>
      <c r="B762">
        <v>11</v>
      </c>
      <c r="C762" t="s">
        <v>13</v>
      </c>
      <c r="D762" t="s">
        <v>2288</v>
      </c>
      <c r="E762" t="s">
        <v>272</v>
      </c>
      <c r="F762" t="s">
        <v>42</v>
      </c>
      <c r="G762">
        <v>1</v>
      </c>
      <c r="H762">
        <f t="shared" si="22"/>
        <v>4</v>
      </c>
      <c r="I762" s="6">
        <f t="shared" si="23"/>
        <v>1</v>
      </c>
    </row>
    <row r="763" spans="1:9" x14ac:dyDescent="0.2">
      <c r="A763" t="s">
        <v>2289</v>
      </c>
      <c r="B763">
        <v>2</v>
      </c>
      <c r="C763" t="s">
        <v>80</v>
      </c>
      <c r="D763" t="s">
        <v>2290</v>
      </c>
      <c r="E763" t="s">
        <v>2291</v>
      </c>
      <c r="F763" t="s">
        <v>29</v>
      </c>
      <c r="G763">
        <v>1</v>
      </c>
      <c r="H763">
        <f t="shared" si="22"/>
        <v>8</v>
      </c>
      <c r="I763" s="6">
        <f t="shared" si="23"/>
        <v>0.875</v>
      </c>
    </row>
    <row r="764" spans="1:9" x14ac:dyDescent="0.2">
      <c r="A764" t="s">
        <v>2292</v>
      </c>
      <c r="B764">
        <v>5</v>
      </c>
      <c r="C764" t="s">
        <v>22</v>
      </c>
      <c r="D764" t="s">
        <v>2293</v>
      </c>
      <c r="E764" t="s">
        <v>2294</v>
      </c>
      <c r="F764" t="s">
        <v>20</v>
      </c>
      <c r="G764">
        <v>0</v>
      </c>
      <c r="H764">
        <f t="shared" si="22"/>
        <v>8</v>
      </c>
      <c r="I764" s="6">
        <f t="shared" si="23"/>
        <v>0.5</v>
      </c>
    </row>
    <row r="765" spans="1:9" x14ac:dyDescent="0.2">
      <c r="A765" t="s">
        <v>2295</v>
      </c>
      <c r="B765">
        <v>5</v>
      </c>
      <c r="C765" t="s">
        <v>8</v>
      </c>
      <c r="D765" t="s">
        <v>2296</v>
      </c>
      <c r="E765" t="s">
        <v>2297</v>
      </c>
      <c r="F765" t="s">
        <v>62</v>
      </c>
      <c r="G765">
        <v>0</v>
      </c>
      <c r="H765">
        <f t="shared" si="22"/>
        <v>6</v>
      </c>
      <c r="I765" s="6">
        <f t="shared" si="23"/>
        <v>0.5</v>
      </c>
    </row>
    <row r="766" spans="1:9" x14ac:dyDescent="0.2">
      <c r="A766" t="s">
        <v>2298</v>
      </c>
      <c r="B766">
        <v>8</v>
      </c>
      <c r="C766" t="s">
        <v>22</v>
      </c>
      <c r="D766" t="s">
        <v>2299</v>
      </c>
      <c r="E766" t="s">
        <v>2300</v>
      </c>
      <c r="F766" t="s">
        <v>104</v>
      </c>
      <c r="G766">
        <v>1</v>
      </c>
      <c r="H766">
        <f t="shared" si="22"/>
        <v>4</v>
      </c>
      <c r="I766" s="6">
        <f t="shared" si="23"/>
        <v>0.25</v>
      </c>
    </row>
    <row r="767" spans="1:9" x14ac:dyDescent="0.2">
      <c r="A767" t="s">
        <v>2301</v>
      </c>
      <c r="B767">
        <v>6</v>
      </c>
      <c r="C767" t="s">
        <v>22</v>
      </c>
      <c r="D767" t="s">
        <v>2302</v>
      </c>
      <c r="E767" t="s">
        <v>2303</v>
      </c>
      <c r="F767" t="s">
        <v>142</v>
      </c>
      <c r="G767">
        <v>0</v>
      </c>
      <c r="H767">
        <f t="shared" si="22"/>
        <v>5</v>
      </c>
      <c r="I767" s="6">
        <f t="shared" si="23"/>
        <v>0.4</v>
      </c>
    </row>
    <row r="768" spans="1:9" x14ac:dyDescent="0.2">
      <c r="A768" t="s">
        <v>2304</v>
      </c>
      <c r="B768">
        <v>1</v>
      </c>
      <c r="C768" t="s">
        <v>80</v>
      </c>
      <c r="D768" t="s">
        <v>2305</v>
      </c>
      <c r="E768" t="s">
        <v>2306</v>
      </c>
      <c r="F768" t="s">
        <v>207</v>
      </c>
      <c r="G768">
        <v>0</v>
      </c>
      <c r="H768">
        <f t="shared" si="22"/>
        <v>3</v>
      </c>
      <c r="I768" s="6">
        <f t="shared" si="23"/>
        <v>1</v>
      </c>
    </row>
    <row r="769" spans="1:9" x14ac:dyDescent="0.2">
      <c r="A769" t="s">
        <v>2307</v>
      </c>
      <c r="B769">
        <v>4</v>
      </c>
      <c r="C769" t="s">
        <v>8</v>
      </c>
      <c r="D769" t="s">
        <v>2308</v>
      </c>
      <c r="E769" t="s">
        <v>2309</v>
      </c>
      <c r="F769" t="s">
        <v>20</v>
      </c>
      <c r="G769">
        <v>0</v>
      </c>
      <c r="H769">
        <f t="shared" si="22"/>
        <v>8</v>
      </c>
      <c r="I769" s="6">
        <f t="shared" si="23"/>
        <v>0.5</v>
      </c>
    </row>
    <row r="770" spans="1:9" x14ac:dyDescent="0.2">
      <c r="A770" t="s">
        <v>2310</v>
      </c>
      <c r="B770">
        <v>4</v>
      </c>
      <c r="C770" t="s">
        <v>8</v>
      </c>
      <c r="D770" t="s">
        <v>2311</v>
      </c>
      <c r="E770" t="s">
        <v>2312</v>
      </c>
      <c r="F770" t="s">
        <v>104</v>
      </c>
      <c r="G770">
        <v>0</v>
      </c>
      <c r="H770">
        <f t="shared" ref="H770:H833" si="24">COUNTIF($F$2:$F$100, F770)</f>
        <v>4</v>
      </c>
      <c r="I770" s="6">
        <f t="shared" ref="I770:I833" si="25">SUMIFS($G$2:$G$100, $F$2:$F$100, F770) / COUNTIF($F$2:$F$100, F770)</f>
        <v>0.25</v>
      </c>
    </row>
    <row r="771" spans="1:9" x14ac:dyDescent="0.2">
      <c r="A771" t="s">
        <v>2313</v>
      </c>
      <c r="B771">
        <v>8</v>
      </c>
      <c r="C771" t="s">
        <v>39</v>
      </c>
      <c r="D771" t="s">
        <v>2314</v>
      </c>
      <c r="E771" t="s">
        <v>2315</v>
      </c>
      <c r="F771" t="s">
        <v>142</v>
      </c>
      <c r="G771">
        <v>0</v>
      </c>
      <c r="H771">
        <f t="shared" si="24"/>
        <v>5</v>
      </c>
      <c r="I771" s="6">
        <f t="shared" si="25"/>
        <v>0.4</v>
      </c>
    </row>
    <row r="772" spans="1:9" x14ac:dyDescent="0.2">
      <c r="A772" t="s">
        <v>2316</v>
      </c>
      <c r="B772">
        <v>9</v>
      </c>
      <c r="C772" t="s">
        <v>80</v>
      </c>
      <c r="D772" t="s">
        <v>2317</v>
      </c>
      <c r="E772" t="s">
        <v>2318</v>
      </c>
      <c r="F772" t="s">
        <v>104</v>
      </c>
      <c r="G772">
        <v>0</v>
      </c>
      <c r="H772">
        <f t="shared" si="24"/>
        <v>4</v>
      </c>
      <c r="I772" s="6">
        <f t="shared" si="25"/>
        <v>0.25</v>
      </c>
    </row>
    <row r="773" spans="1:9" x14ac:dyDescent="0.2">
      <c r="A773" t="s">
        <v>2319</v>
      </c>
      <c r="B773">
        <v>9</v>
      </c>
      <c r="C773" t="s">
        <v>8</v>
      </c>
      <c r="D773" t="s">
        <v>2320</v>
      </c>
      <c r="E773" t="s">
        <v>2321</v>
      </c>
      <c r="F773" t="s">
        <v>46</v>
      </c>
      <c r="G773">
        <v>0</v>
      </c>
      <c r="H773">
        <f t="shared" si="24"/>
        <v>3</v>
      </c>
      <c r="I773" s="6">
        <f t="shared" si="25"/>
        <v>0.66666666666666663</v>
      </c>
    </row>
    <row r="774" spans="1:9" x14ac:dyDescent="0.2">
      <c r="A774" t="s">
        <v>2322</v>
      </c>
      <c r="B774">
        <v>0</v>
      </c>
      <c r="C774" t="s">
        <v>8</v>
      </c>
      <c r="D774" t="s">
        <v>2323</v>
      </c>
      <c r="E774" t="s">
        <v>2060</v>
      </c>
      <c r="F774" t="s">
        <v>142</v>
      </c>
      <c r="G774">
        <v>1</v>
      </c>
      <c r="H774">
        <f t="shared" si="24"/>
        <v>5</v>
      </c>
      <c r="I774" s="6">
        <f t="shared" si="25"/>
        <v>0.4</v>
      </c>
    </row>
    <row r="775" spans="1:9" x14ac:dyDescent="0.2">
      <c r="A775" t="s">
        <v>2324</v>
      </c>
      <c r="B775">
        <v>3</v>
      </c>
      <c r="C775" t="s">
        <v>8</v>
      </c>
      <c r="D775" t="s">
        <v>2325</v>
      </c>
      <c r="E775" t="s">
        <v>2326</v>
      </c>
      <c r="F775" t="s">
        <v>42</v>
      </c>
      <c r="G775">
        <v>1</v>
      </c>
      <c r="H775">
        <f t="shared" si="24"/>
        <v>4</v>
      </c>
      <c r="I775" s="6">
        <f t="shared" si="25"/>
        <v>1</v>
      </c>
    </row>
    <row r="776" spans="1:9" x14ac:dyDescent="0.2">
      <c r="A776" t="s">
        <v>2327</v>
      </c>
      <c r="B776">
        <v>2</v>
      </c>
      <c r="C776" t="s">
        <v>8</v>
      </c>
      <c r="D776" t="s">
        <v>2328</v>
      </c>
      <c r="E776" t="s">
        <v>2329</v>
      </c>
      <c r="F776" t="s">
        <v>25</v>
      </c>
      <c r="G776">
        <v>1</v>
      </c>
      <c r="H776">
        <f t="shared" si="24"/>
        <v>7</v>
      </c>
      <c r="I776" s="6">
        <f t="shared" si="25"/>
        <v>0.7142857142857143</v>
      </c>
    </row>
    <row r="777" spans="1:9" x14ac:dyDescent="0.2">
      <c r="A777" t="s">
        <v>2330</v>
      </c>
      <c r="B777">
        <v>0</v>
      </c>
      <c r="C777" t="s">
        <v>80</v>
      </c>
      <c r="D777" t="s">
        <v>2331</v>
      </c>
      <c r="E777" t="s">
        <v>2332</v>
      </c>
      <c r="F777" t="s">
        <v>62</v>
      </c>
      <c r="G777">
        <v>1</v>
      </c>
      <c r="H777">
        <f t="shared" si="24"/>
        <v>6</v>
      </c>
      <c r="I777" s="6">
        <f t="shared" si="25"/>
        <v>0.5</v>
      </c>
    </row>
    <row r="778" spans="1:9" x14ac:dyDescent="0.2">
      <c r="A778" t="s">
        <v>2333</v>
      </c>
      <c r="B778">
        <v>7</v>
      </c>
      <c r="C778" t="s">
        <v>80</v>
      </c>
      <c r="D778" t="s">
        <v>2334</v>
      </c>
      <c r="E778" t="s">
        <v>2335</v>
      </c>
      <c r="F778" t="s">
        <v>221</v>
      </c>
      <c r="G778">
        <v>0</v>
      </c>
      <c r="H778">
        <f t="shared" si="24"/>
        <v>3</v>
      </c>
      <c r="I778" s="6">
        <f t="shared" si="25"/>
        <v>0.66666666666666663</v>
      </c>
    </row>
    <row r="779" spans="1:9" x14ac:dyDescent="0.2">
      <c r="A779" t="s">
        <v>2336</v>
      </c>
      <c r="B779">
        <v>0</v>
      </c>
      <c r="C779" t="s">
        <v>39</v>
      </c>
      <c r="D779" t="s">
        <v>2337</v>
      </c>
      <c r="E779" t="s">
        <v>2338</v>
      </c>
      <c r="F779" t="s">
        <v>16</v>
      </c>
      <c r="G779">
        <v>1</v>
      </c>
      <c r="H779">
        <f t="shared" si="24"/>
        <v>5</v>
      </c>
      <c r="I779" s="6">
        <f t="shared" si="25"/>
        <v>0.6</v>
      </c>
    </row>
    <row r="780" spans="1:9" x14ac:dyDescent="0.2">
      <c r="A780" t="s">
        <v>2339</v>
      </c>
      <c r="B780">
        <v>4</v>
      </c>
      <c r="C780" t="s">
        <v>22</v>
      </c>
      <c r="D780" t="s">
        <v>2340</v>
      </c>
      <c r="E780" t="s">
        <v>2341</v>
      </c>
      <c r="F780" t="s">
        <v>207</v>
      </c>
      <c r="G780">
        <v>0</v>
      </c>
      <c r="H780">
        <f t="shared" si="24"/>
        <v>3</v>
      </c>
      <c r="I780" s="6">
        <f t="shared" si="25"/>
        <v>1</v>
      </c>
    </row>
    <row r="781" spans="1:9" x14ac:dyDescent="0.2">
      <c r="A781" t="s">
        <v>2342</v>
      </c>
      <c r="B781">
        <v>2</v>
      </c>
      <c r="C781" t="s">
        <v>80</v>
      </c>
      <c r="D781" t="s">
        <v>2343</v>
      </c>
      <c r="E781" t="s">
        <v>2344</v>
      </c>
      <c r="F781" t="s">
        <v>33</v>
      </c>
      <c r="G781">
        <v>1</v>
      </c>
      <c r="H781">
        <f t="shared" si="24"/>
        <v>4</v>
      </c>
      <c r="I781" s="6">
        <f t="shared" si="25"/>
        <v>0.5</v>
      </c>
    </row>
    <row r="782" spans="1:9" x14ac:dyDescent="0.2">
      <c r="A782" t="s">
        <v>2345</v>
      </c>
      <c r="B782">
        <v>1</v>
      </c>
      <c r="C782" t="s">
        <v>13</v>
      </c>
      <c r="D782" t="s">
        <v>2346</v>
      </c>
      <c r="E782" t="s">
        <v>2347</v>
      </c>
      <c r="F782" t="s">
        <v>58</v>
      </c>
      <c r="G782">
        <v>0</v>
      </c>
      <c r="H782">
        <f t="shared" si="24"/>
        <v>2</v>
      </c>
      <c r="I782" s="6">
        <f t="shared" si="25"/>
        <v>1</v>
      </c>
    </row>
    <row r="783" spans="1:9" x14ac:dyDescent="0.2">
      <c r="A783" t="s">
        <v>2348</v>
      </c>
      <c r="B783">
        <v>6</v>
      </c>
      <c r="C783" t="s">
        <v>22</v>
      </c>
      <c r="D783" t="s">
        <v>2349</v>
      </c>
      <c r="E783" t="s">
        <v>2350</v>
      </c>
      <c r="F783" t="s">
        <v>211</v>
      </c>
      <c r="G783">
        <v>1</v>
      </c>
      <c r="H783">
        <f t="shared" si="24"/>
        <v>3</v>
      </c>
      <c r="I783" s="6">
        <f t="shared" si="25"/>
        <v>0.33333333333333331</v>
      </c>
    </row>
    <row r="784" spans="1:9" x14ac:dyDescent="0.2">
      <c r="A784" t="s">
        <v>2351</v>
      </c>
      <c r="B784">
        <v>0</v>
      </c>
      <c r="C784" t="s">
        <v>22</v>
      </c>
      <c r="D784" t="s">
        <v>2352</v>
      </c>
      <c r="E784" t="s">
        <v>2353</v>
      </c>
      <c r="F784" t="s">
        <v>37</v>
      </c>
      <c r="G784">
        <v>1</v>
      </c>
      <c r="H784">
        <f t="shared" si="24"/>
        <v>8</v>
      </c>
      <c r="I784" s="6">
        <f t="shared" si="25"/>
        <v>0.625</v>
      </c>
    </row>
    <row r="785" spans="1:9" x14ac:dyDescent="0.2">
      <c r="A785" t="s">
        <v>2354</v>
      </c>
      <c r="B785">
        <v>6</v>
      </c>
      <c r="C785" t="s">
        <v>22</v>
      </c>
      <c r="D785" t="s">
        <v>2355</v>
      </c>
      <c r="E785" t="s">
        <v>2356</v>
      </c>
      <c r="F785" t="s">
        <v>33</v>
      </c>
      <c r="G785">
        <v>1</v>
      </c>
      <c r="H785">
        <f t="shared" si="24"/>
        <v>4</v>
      </c>
      <c r="I785" s="6">
        <f t="shared" si="25"/>
        <v>0.5</v>
      </c>
    </row>
    <row r="786" spans="1:9" x14ac:dyDescent="0.2">
      <c r="A786" t="s">
        <v>2357</v>
      </c>
      <c r="B786">
        <v>6</v>
      </c>
      <c r="C786" t="s">
        <v>39</v>
      </c>
      <c r="D786" t="s">
        <v>2358</v>
      </c>
      <c r="E786" t="s">
        <v>2359</v>
      </c>
      <c r="F786" t="s">
        <v>108</v>
      </c>
      <c r="G786">
        <v>0</v>
      </c>
      <c r="H786">
        <f t="shared" si="24"/>
        <v>2</v>
      </c>
      <c r="I786" s="6">
        <f t="shared" si="25"/>
        <v>1</v>
      </c>
    </row>
    <row r="787" spans="1:9" x14ac:dyDescent="0.2">
      <c r="A787" t="s">
        <v>2360</v>
      </c>
      <c r="B787">
        <v>7</v>
      </c>
      <c r="C787" t="s">
        <v>39</v>
      </c>
      <c r="D787" t="s">
        <v>2361</v>
      </c>
      <c r="E787" t="s">
        <v>2362</v>
      </c>
      <c r="F787" t="s">
        <v>104</v>
      </c>
      <c r="G787">
        <v>1</v>
      </c>
      <c r="H787">
        <f t="shared" si="24"/>
        <v>4</v>
      </c>
      <c r="I787" s="6">
        <f t="shared" si="25"/>
        <v>0.25</v>
      </c>
    </row>
    <row r="788" spans="1:9" x14ac:dyDescent="0.2">
      <c r="A788" t="s">
        <v>2363</v>
      </c>
      <c r="B788">
        <v>1</v>
      </c>
      <c r="C788" t="s">
        <v>13</v>
      </c>
      <c r="D788" t="s">
        <v>2364</v>
      </c>
      <c r="E788" t="s">
        <v>2365</v>
      </c>
      <c r="F788" t="s">
        <v>142</v>
      </c>
      <c r="G788">
        <v>0</v>
      </c>
      <c r="H788">
        <f t="shared" si="24"/>
        <v>5</v>
      </c>
      <c r="I788" s="6">
        <f t="shared" si="25"/>
        <v>0.4</v>
      </c>
    </row>
    <row r="789" spans="1:9" x14ac:dyDescent="0.2">
      <c r="A789" t="s">
        <v>2366</v>
      </c>
      <c r="B789">
        <v>1</v>
      </c>
      <c r="C789" t="s">
        <v>22</v>
      </c>
      <c r="D789" t="s">
        <v>2367</v>
      </c>
      <c r="E789" t="s">
        <v>2368</v>
      </c>
      <c r="F789" t="s">
        <v>194</v>
      </c>
      <c r="G789">
        <v>0</v>
      </c>
      <c r="H789">
        <f t="shared" si="24"/>
        <v>3</v>
      </c>
      <c r="I789" s="6">
        <f t="shared" si="25"/>
        <v>1</v>
      </c>
    </row>
    <row r="790" spans="1:9" x14ac:dyDescent="0.2">
      <c r="A790" t="s">
        <v>2369</v>
      </c>
      <c r="B790">
        <v>4</v>
      </c>
      <c r="C790" t="s">
        <v>80</v>
      </c>
      <c r="D790" t="s">
        <v>2370</v>
      </c>
      <c r="E790" t="s">
        <v>2371</v>
      </c>
      <c r="F790" t="s">
        <v>25</v>
      </c>
      <c r="G790">
        <v>1</v>
      </c>
      <c r="H790">
        <f t="shared" si="24"/>
        <v>7</v>
      </c>
      <c r="I790" s="6">
        <f t="shared" si="25"/>
        <v>0.7142857142857143</v>
      </c>
    </row>
    <row r="791" spans="1:9" x14ac:dyDescent="0.2">
      <c r="A791" t="s">
        <v>2372</v>
      </c>
      <c r="B791">
        <v>5</v>
      </c>
      <c r="C791" t="s">
        <v>39</v>
      </c>
      <c r="D791" t="s">
        <v>2373</v>
      </c>
      <c r="E791" t="s">
        <v>2374</v>
      </c>
      <c r="F791" t="s">
        <v>194</v>
      </c>
      <c r="G791">
        <v>0</v>
      </c>
      <c r="H791">
        <f t="shared" si="24"/>
        <v>3</v>
      </c>
      <c r="I791" s="6">
        <f t="shared" si="25"/>
        <v>1</v>
      </c>
    </row>
    <row r="792" spans="1:9" x14ac:dyDescent="0.2">
      <c r="A792" t="s">
        <v>2375</v>
      </c>
      <c r="B792">
        <v>0</v>
      </c>
      <c r="C792" t="s">
        <v>13</v>
      </c>
      <c r="D792" t="s">
        <v>2376</v>
      </c>
      <c r="E792" t="s">
        <v>2377</v>
      </c>
      <c r="F792" t="s">
        <v>16</v>
      </c>
      <c r="G792">
        <v>1</v>
      </c>
      <c r="H792">
        <f t="shared" si="24"/>
        <v>5</v>
      </c>
      <c r="I792" s="6">
        <f t="shared" si="25"/>
        <v>0.6</v>
      </c>
    </row>
    <row r="793" spans="1:9" x14ac:dyDescent="0.2">
      <c r="A793" t="s">
        <v>2378</v>
      </c>
      <c r="B793">
        <v>11</v>
      </c>
      <c r="C793" t="s">
        <v>13</v>
      </c>
      <c r="D793" t="s">
        <v>2379</v>
      </c>
      <c r="E793" t="s">
        <v>2380</v>
      </c>
      <c r="F793" t="s">
        <v>25</v>
      </c>
      <c r="G793">
        <v>0</v>
      </c>
      <c r="H793">
        <f t="shared" si="24"/>
        <v>7</v>
      </c>
      <c r="I793" s="6">
        <f t="shared" si="25"/>
        <v>0.7142857142857143</v>
      </c>
    </row>
    <row r="794" spans="1:9" x14ac:dyDescent="0.2">
      <c r="A794" t="s">
        <v>2381</v>
      </c>
      <c r="B794">
        <v>3</v>
      </c>
      <c r="C794" t="s">
        <v>8</v>
      </c>
      <c r="D794" t="s">
        <v>2382</v>
      </c>
      <c r="E794" t="s">
        <v>2383</v>
      </c>
      <c r="F794" t="s">
        <v>142</v>
      </c>
      <c r="G794">
        <v>1</v>
      </c>
      <c r="H794">
        <f t="shared" si="24"/>
        <v>5</v>
      </c>
      <c r="I794" s="6">
        <f t="shared" si="25"/>
        <v>0.4</v>
      </c>
    </row>
    <row r="795" spans="1:9" x14ac:dyDescent="0.2">
      <c r="A795" t="s">
        <v>2384</v>
      </c>
      <c r="B795">
        <v>6</v>
      </c>
      <c r="C795" t="s">
        <v>13</v>
      </c>
      <c r="D795" t="s">
        <v>2385</v>
      </c>
      <c r="E795" t="s">
        <v>2386</v>
      </c>
      <c r="F795" t="s">
        <v>16</v>
      </c>
      <c r="G795">
        <v>1</v>
      </c>
      <c r="H795">
        <f t="shared" si="24"/>
        <v>5</v>
      </c>
      <c r="I795" s="6">
        <f t="shared" si="25"/>
        <v>0.6</v>
      </c>
    </row>
    <row r="796" spans="1:9" x14ac:dyDescent="0.2">
      <c r="A796" t="s">
        <v>2387</v>
      </c>
      <c r="B796">
        <v>7</v>
      </c>
      <c r="C796" t="s">
        <v>13</v>
      </c>
      <c r="D796" t="s">
        <v>2388</v>
      </c>
      <c r="E796" t="s">
        <v>2389</v>
      </c>
      <c r="F796" t="s">
        <v>207</v>
      </c>
      <c r="G796">
        <v>1</v>
      </c>
      <c r="H796">
        <f t="shared" si="24"/>
        <v>3</v>
      </c>
      <c r="I796" s="6">
        <f t="shared" si="25"/>
        <v>1</v>
      </c>
    </row>
    <row r="797" spans="1:9" x14ac:dyDescent="0.2">
      <c r="A797" t="s">
        <v>2390</v>
      </c>
      <c r="B797">
        <v>11</v>
      </c>
      <c r="C797" t="s">
        <v>22</v>
      </c>
      <c r="D797" t="s">
        <v>2391</v>
      </c>
      <c r="E797" t="s">
        <v>2392</v>
      </c>
      <c r="F797" t="s">
        <v>25</v>
      </c>
      <c r="G797">
        <v>1</v>
      </c>
      <c r="H797">
        <f t="shared" si="24"/>
        <v>7</v>
      </c>
      <c r="I797" s="6">
        <f t="shared" si="25"/>
        <v>0.7142857142857143</v>
      </c>
    </row>
    <row r="798" spans="1:9" x14ac:dyDescent="0.2">
      <c r="A798" t="s">
        <v>2393</v>
      </c>
      <c r="B798">
        <v>5</v>
      </c>
      <c r="C798" t="s">
        <v>80</v>
      </c>
      <c r="D798" t="s">
        <v>2394</v>
      </c>
      <c r="E798" t="s">
        <v>2395</v>
      </c>
      <c r="F798" t="s">
        <v>33</v>
      </c>
      <c r="G798">
        <v>0</v>
      </c>
      <c r="H798">
        <f t="shared" si="24"/>
        <v>4</v>
      </c>
      <c r="I798" s="6">
        <f t="shared" si="25"/>
        <v>0.5</v>
      </c>
    </row>
    <row r="799" spans="1:9" x14ac:dyDescent="0.2">
      <c r="A799" t="s">
        <v>2396</v>
      </c>
      <c r="B799">
        <v>7</v>
      </c>
      <c r="C799" t="s">
        <v>80</v>
      </c>
      <c r="D799" t="s">
        <v>2397</v>
      </c>
      <c r="E799" t="s">
        <v>2398</v>
      </c>
      <c r="F799" t="s">
        <v>16</v>
      </c>
      <c r="G799">
        <v>0</v>
      </c>
      <c r="H799">
        <f t="shared" si="24"/>
        <v>5</v>
      </c>
      <c r="I799" s="6">
        <f t="shared" si="25"/>
        <v>0.6</v>
      </c>
    </row>
    <row r="800" spans="1:9" x14ac:dyDescent="0.2">
      <c r="A800" t="s">
        <v>2399</v>
      </c>
      <c r="B800">
        <v>0</v>
      </c>
      <c r="C800" t="s">
        <v>13</v>
      </c>
      <c r="D800" t="s">
        <v>2400</v>
      </c>
      <c r="E800" t="s">
        <v>2401</v>
      </c>
      <c r="F800" t="s">
        <v>207</v>
      </c>
      <c r="G800">
        <v>0</v>
      </c>
      <c r="H800">
        <f t="shared" si="24"/>
        <v>3</v>
      </c>
      <c r="I800" s="6">
        <f t="shared" si="25"/>
        <v>1</v>
      </c>
    </row>
    <row r="801" spans="1:9" x14ac:dyDescent="0.2">
      <c r="A801" t="s">
        <v>2402</v>
      </c>
      <c r="B801">
        <v>0</v>
      </c>
      <c r="C801" t="s">
        <v>22</v>
      </c>
      <c r="D801" t="s">
        <v>2403</v>
      </c>
      <c r="E801" t="s">
        <v>2404</v>
      </c>
      <c r="F801" t="s">
        <v>62</v>
      </c>
      <c r="G801">
        <v>1</v>
      </c>
      <c r="H801">
        <f t="shared" si="24"/>
        <v>6</v>
      </c>
      <c r="I801" s="6">
        <f t="shared" si="25"/>
        <v>0.5</v>
      </c>
    </row>
    <row r="802" spans="1:9" x14ac:dyDescent="0.2">
      <c r="A802" t="s">
        <v>2405</v>
      </c>
      <c r="B802">
        <v>1</v>
      </c>
      <c r="C802" t="s">
        <v>80</v>
      </c>
      <c r="D802" t="s">
        <v>2406</v>
      </c>
      <c r="E802" t="s">
        <v>2407</v>
      </c>
      <c r="F802" t="s">
        <v>11</v>
      </c>
      <c r="G802">
        <v>0</v>
      </c>
      <c r="H802">
        <f t="shared" si="24"/>
        <v>4</v>
      </c>
      <c r="I802" s="6">
        <f t="shared" si="25"/>
        <v>0.5</v>
      </c>
    </row>
    <row r="803" spans="1:9" x14ac:dyDescent="0.2">
      <c r="A803" t="s">
        <v>2408</v>
      </c>
      <c r="B803">
        <v>10</v>
      </c>
      <c r="C803" t="s">
        <v>80</v>
      </c>
      <c r="D803" t="s">
        <v>2409</v>
      </c>
      <c r="E803" t="s">
        <v>2410</v>
      </c>
      <c r="F803" t="s">
        <v>221</v>
      </c>
      <c r="G803">
        <v>1</v>
      </c>
      <c r="H803">
        <f t="shared" si="24"/>
        <v>3</v>
      </c>
      <c r="I803" s="6">
        <f t="shared" si="25"/>
        <v>0.66666666666666663</v>
      </c>
    </row>
    <row r="804" spans="1:9" x14ac:dyDescent="0.2">
      <c r="A804" t="s">
        <v>2411</v>
      </c>
      <c r="B804">
        <v>0</v>
      </c>
      <c r="C804" t="s">
        <v>13</v>
      </c>
      <c r="D804" t="s">
        <v>2412</v>
      </c>
      <c r="E804" t="s">
        <v>2413</v>
      </c>
      <c r="F804" t="s">
        <v>62</v>
      </c>
      <c r="G804">
        <v>1</v>
      </c>
      <c r="H804">
        <f t="shared" si="24"/>
        <v>6</v>
      </c>
      <c r="I804" s="6">
        <f t="shared" si="25"/>
        <v>0.5</v>
      </c>
    </row>
    <row r="805" spans="1:9" x14ac:dyDescent="0.2">
      <c r="A805" t="s">
        <v>2414</v>
      </c>
      <c r="B805">
        <v>8</v>
      </c>
      <c r="C805" t="s">
        <v>39</v>
      </c>
      <c r="D805" t="s">
        <v>2415</v>
      </c>
      <c r="E805" t="s">
        <v>2416</v>
      </c>
      <c r="F805" t="s">
        <v>20</v>
      </c>
      <c r="G805">
        <v>0</v>
      </c>
      <c r="H805">
        <f t="shared" si="24"/>
        <v>8</v>
      </c>
      <c r="I805" s="6">
        <f t="shared" si="25"/>
        <v>0.5</v>
      </c>
    </row>
    <row r="806" spans="1:9" x14ac:dyDescent="0.2">
      <c r="A806" t="s">
        <v>2417</v>
      </c>
      <c r="B806">
        <v>6</v>
      </c>
      <c r="C806" t="s">
        <v>39</v>
      </c>
      <c r="D806" t="s">
        <v>2418</v>
      </c>
      <c r="E806" t="s">
        <v>2419</v>
      </c>
      <c r="F806" t="s">
        <v>42</v>
      </c>
      <c r="G806">
        <v>0</v>
      </c>
      <c r="H806">
        <f t="shared" si="24"/>
        <v>4</v>
      </c>
      <c r="I806" s="6">
        <f t="shared" si="25"/>
        <v>1</v>
      </c>
    </row>
    <row r="807" spans="1:9" x14ac:dyDescent="0.2">
      <c r="A807" t="s">
        <v>2420</v>
      </c>
      <c r="B807">
        <v>5</v>
      </c>
      <c r="C807" t="s">
        <v>8</v>
      </c>
      <c r="D807" t="s">
        <v>2421</v>
      </c>
      <c r="E807" t="s">
        <v>2422</v>
      </c>
      <c r="F807" t="s">
        <v>25</v>
      </c>
      <c r="G807">
        <v>1</v>
      </c>
      <c r="H807">
        <f t="shared" si="24"/>
        <v>7</v>
      </c>
      <c r="I807" s="6">
        <f t="shared" si="25"/>
        <v>0.7142857142857143</v>
      </c>
    </row>
    <row r="808" spans="1:9" x14ac:dyDescent="0.2">
      <c r="A808" t="s">
        <v>2423</v>
      </c>
      <c r="B808">
        <v>7</v>
      </c>
      <c r="C808" t="s">
        <v>8</v>
      </c>
      <c r="D808" t="s">
        <v>2424</v>
      </c>
      <c r="E808" t="s">
        <v>2425</v>
      </c>
      <c r="F808" t="s">
        <v>62</v>
      </c>
      <c r="G808">
        <v>0</v>
      </c>
      <c r="H808">
        <f t="shared" si="24"/>
        <v>6</v>
      </c>
      <c r="I808" s="6">
        <f t="shared" si="25"/>
        <v>0.5</v>
      </c>
    </row>
    <row r="809" spans="1:9" x14ac:dyDescent="0.2">
      <c r="A809" t="s">
        <v>2426</v>
      </c>
      <c r="B809">
        <v>2</v>
      </c>
      <c r="C809" t="s">
        <v>13</v>
      </c>
      <c r="D809" t="s">
        <v>2427</v>
      </c>
      <c r="E809" t="s">
        <v>2428</v>
      </c>
      <c r="F809" t="s">
        <v>50</v>
      </c>
      <c r="G809">
        <v>0</v>
      </c>
      <c r="H809">
        <f t="shared" si="24"/>
        <v>2</v>
      </c>
      <c r="I809" s="6">
        <f t="shared" si="25"/>
        <v>0.5</v>
      </c>
    </row>
    <row r="810" spans="1:9" x14ac:dyDescent="0.2">
      <c r="A810" t="s">
        <v>2429</v>
      </c>
      <c r="B810">
        <v>3</v>
      </c>
      <c r="C810" t="s">
        <v>22</v>
      </c>
      <c r="D810" t="s">
        <v>2430</v>
      </c>
      <c r="E810" t="s">
        <v>2431</v>
      </c>
      <c r="F810" t="s">
        <v>142</v>
      </c>
      <c r="G810">
        <v>0</v>
      </c>
      <c r="H810">
        <f t="shared" si="24"/>
        <v>5</v>
      </c>
      <c r="I810" s="6">
        <f t="shared" si="25"/>
        <v>0.4</v>
      </c>
    </row>
    <row r="811" spans="1:9" x14ac:dyDescent="0.2">
      <c r="A811" t="s">
        <v>2432</v>
      </c>
      <c r="B811">
        <v>3</v>
      </c>
      <c r="C811" t="s">
        <v>8</v>
      </c>
      <c r="D811" t="s">
        <v>2433</v>
      </c>
      <c r="E811" t="s">
        <v>2434</v>
      </c>
      <c r="F811" t="s">
        <v>16</v>
      </c>
      <c r="G811">
        <v>0</v>
      </c>
      <c r="H811">
        <f t="shared" si="24"/>
        <v>5</v>
      </c>
      <c r="I811" s="6">
        <f t="shared" si="25"/>
        <v>0.6</v>
      </c>
    </row>
    <row r="812" spans="1:9" x14ac:dyDescent="0.2">
      <c r="A812" t="s">
        <v>2435</v>
      </c>
      <c r="B812">
        <v>3</v>
      </c>
      <c r="C812" t="s">
        <v>39</v>
      </c>
      <c r="D812" t="s">
        <v>2436</v>
      </c>
      <c r="E812" t="s">
        <v>2437</v>
      </c>
      <c r="F812" t="s">
        <v>211</v>
      </c>
      <c r="G812">
        <v>1</v>
      </c>
      <c r="H812">
        <f t="shared" si="24"/>
        <v>3</v>
      </c>
      <c r="I812" s="6">
        <f t="shared" si="25"/>
        <v>0.33333333333333331</v>
      </c>
    </row>
    <row r="813" spans="1:9" x14ac:dyDescent="0.2">
      <c r="A813" t="s">
        <v>2438</v>
      </c>
      <c r="B813">
        <v>9</v>
      </c>
      <c r="C813" t="s">
        <v>80</v>
      </c>
      <c r="D813" t="s">
        <v>2439</v>
      </c>
      <c r="E813" t="s">
        <v>2440</v>
      </c>
      <c r="F813" t="s">
        <v>11</v>
      </c>
      <c r="G813">
        <v>0</v>
      </c>
      <c r="H813">
        <f t="shared" si="24"/>
        <v>4</v>
      </c>
      <c r="I813" s="6">
        <f t="shared" si="25"/>
        <v>0.5</v>
      </c>
    </row>
    <row r="814" spans="1:9" x14ac:dyDescent="0.2">
      <c r="A814" t="s">
        <v>2441</v>
      </c>
      <c r="B814">
        <v>3</v>
      </c>
      <c r="C814" t="s">
        <v>80</v>
      </c>
      <c r="D814" t="s">
        <v>2442</v>
      </c>
      <c r="E814" t="s">
        <v>2443</v>
      </c>
      <c r="F814" t="s">
        <v>29</v>
      </c>
      <c r="G814">
        <v>1</v>
      </c>
      <c r="H814">
        <f t="shared" si="24"/>
        <v>8</v>
      </c>
      <c r="I814" s="6">
        <f t="shared" si="25"/>
        <v>0.875</v>
      </c>
    </row>
    <row r="815" spans="1:9" x14ac:dyDescent="0.2">
      <c r="A815" t="s">
        <v>2444</v>
      </c>
      <c r="B815">
        <v>1</v>
      </c>
      <c r="C815" t="s">
        <v>22</v>
      </c>
      <c r="D815" t="s">
        <v>2445</v>
      </c>
      <c r="E815" t="s">
        <v>2446</v>
      </c>
      <c r="F815" t="s">
        <v>42</v>
      </c>
      <c r="G815">
        <v>0</v>
      </c>
      <c r="H815">
        <f t="shared" si="24"/>
        <v>4</v>
      </c>
      <c r="I815" s="6">
        <f t="shared" si="25"/>
        <v>1</v>
      </c>
    </row>
    <row r="816" spans="1:9" x14ac:dyDescent="0.2">
      <c r="A816" t="s">
        <v>2447</v>
      </c>
      <c r="B816">
        <v>3</v>
      </c>
      <c r="C816" t="s">
        <v>39</v>
      </c>
      <c r="D816" t="s">
        <v>2448</v>
      </c>
      <c r="E816" t="s">
        <v>2449</v>
      </c>
      <c r="F816" t="s">
        <v>11</v>
      </c>
      <c r="G816">
        <v>1</v>
      </c>
      <c r="H816">
        <f t="shared" si="24"/>
        <v>4</v>
      </c>
      <c r="I816" s="6">
        <f t="shared" si="25"/>
        <v>0.5</v>
      </c>
    </row>
    <row r="817" spans="1:9" x14ac:dyDescent="0.2">
      <c r="A817" t="s">
        <v>2450</v>
      </c>
      <c r="B817">
        <v>7</v>
      </c>
      <c r="C817" t="s">
        <v>13</v>
      </c>
      <c r="D817" t="s">
        <v>2451</v>
      </c>
      <c r="E817" t="s">
        <v>2452</v>
      </c>
      <c r="F817" t="s">
        <v>20</v>
      </c>
      <c r="G817">
        <v>0</v>
      </c>
      <c r="H817">
        <f t="shared" si="24"/>
        <v>8</v>
      </c>
      <c r="I817" s="6">
        <f t="shared" si="25"/>
        <v>0.5</v>
      </c>
    </row>
    <row r="818" spans="1:9" x14ac:dyDescent="0.2">
      <c r="A818" t="s">
        <v>2453</v>
      </c>
      <c r="B818">
        <v>10</v>
      </c>
      <c r="C818" t="s">
        <v>13</v>
      </c>
      <c r="D818" t="s">
        <v>2454</v>
      </c>
      <c r="E818" t="s">
        <v>2455</v>
      </c>
      <c r="F818" t="s">
        <v>20</v>
      </c>
      <c r="G818">
        <v>0</v>
      </c>
      <c r="H818">
        <f t="shared" si="24"/>
        <v>8</v>
      </c>
      <c r="I818" s="6">
        <f t="shared" si="25"/>
        <v>0.5</v>
      </c>
    </row>
    <row r="819" spans="1:9" x14ac:dyDescent="0.2">
      <c r="A819" t="s">
        <v>2456</v>
      </c>
      <c r="B819">
        <v>8</v>
      </c>
      <c r="C819" t="s">
        <v>13</v>
      </c>
      <c r="D819" t="s">
        <v>2457</v>
      </c>
      <c r="E819" t="s">
        <v>2458</v>
      </c>
      <c r="F819" t="s">
        <v>42</v>
      </c>
      <c r="G819">
        <v>1</v>
      </c>
      <c r="H819">
        <f t="shared" si="24"/>
        <v>4</v>
      </c>
      <c r="I819" s="6">
        <f t="shared" si="25"/>
        <v>1</v>
      </c>
    </row>
    <row r="820" spans="1:9" x14ac:dyDescent="0.2">
      <c r="A820" t="s">
        <v>2459</v>
      </c>
      <c r="B820">
        <v>11</v>
      </c>
      <c r="C820" t="s">
        <v>8</v>
      </c>
      <c r="D820" t="s">
        <v>2460</v>
      </c>
      <c r="E820" t="s">
        <v>1426</v>
      </c>
      <c r="F820" t="s">
        <v>42</v>
      </c>
      <c r="G820">
        <v>1</v>
      </c>
      <c r="H820">
        <f t="shared" si="24"/>
        <v>4</v>
      </c>
      <c r="I820" s="6">
        <f t="shared" si="25"/>
        <v>1</v>
      </c>
    </row>
    <row r="821" spans="1:9" x14ac:dyDescent="0.2">
      <c r="A821" t="s">
        <v>2461</v>
      </c>
      <c r="B821">
        <v>9</v>
      </c>
      <c r="C821" t="s">
        <v>80</v>
      </c>
      <c r="D821" t="s">
        <v>2462</v>
      </c>
      <c r="E821" t="s">
        <v>2463</v>
      </c>
      <c r="F821" t="s">
        <v>29</v>
      </c>
      <c r="G821">
        <v>1</v>
      </c>
      <c r="H821">
        <f t="shared" si="24"/>
        <v>8</v>
      </c>
      <c r="I821" s="6">
        <f t="shared" si="25"/>
        <v>0.875</v>
      </c>
    </row>
    <row r="822" spans="1:9" x14ac:dyDescent="0.2">
      <c r="A822" t="s">
        <v>2464</v>
      </c>
      <c r="B822">
        <v>6</v>
      </c>
      <c r="C822" t="s">
        <v>39</v>
      </c>
      <c r="D822" t="s">
        <v>2465</v>
      </c>
      <c r="E822" t="s">
        <v>2466</v>
      </c>
      <c r="F822" t="s">
        <v>11</v>
      </c>
      <c r="G822">
        <v>1</v>
      </c>
      <c r="H822">
        <f t="shared" si="24"/>
        <v>4</v>
      </c>
      <c r="I822" s="6">
        <f t="shared" si="25"/>
        <v>0.5</v>
      </c>
    </row>
    <row r="823" spans="1:9" x14ac:dyDescent="0.2">
      <c r="A823" t="s">
        <v>2467</v>
      </c>
      <c r="B823">
        <v>5</v>
      </c>
      <c r="C823" t="s">
        <v>22</v>
      </c>
      <c r="D823" t="s">
        <v>2468</v>
      </c>
      <c r="E823" t="s">
        <v>2469</v>
      </c>
      <c r="F823" t="s">
        <v>194</v>
      </c>
      <c r="G823">
        <v>0</v>
      </c>
      <c r="H823">
        <f t="shared" si="24"/>
        <v>3</v>
      </c>
      <c r="I823" s="6">
        <f t="shared" si="25"/>
        <v>1</v>
      </c>
    </row>
    <row r="824" spans="1:9" x14ac:dyDescent="0.2">
      <c r="A824" t="s">
        <v>2470</v>
      </c>
      <c r="B824">
        <v>1</v>
      </c>
      <c r="C824" t="s">
        <v>80</v>
      </c>
      <c r="D824" t="s">
        <v>2471</v>
      </c>
      <c r="E824" t="s">
        <v>2472</v>
      </c>
      <c r="F824" t="s">
        <v>33</v>
      </c>
      <c r="G824">
        <v>1</v>
      </c>
      <c r="H824">
        <f t="shared" si="24"/>
        <v>4</v>
      </c>
      <c r="I824" s="6">
        <f t="shared" si="25"/>
        <v>0.5</v>
      </c>
    </row>
    <row r="825" spans="1:9" x14ac:dyDescent="0.2">
      <c r="A825" t="s">
        <v>2473</v>
      </c>
      <c r="B825">
        <v>9</v>
      </c>
      <c r="C825" t="s">
        <v>39</v>
      </c>
      <c r="D825" t="s">
        <v>2474</v>
      </c>
      <c r="E825" t="s">
        <v>2475</v>
      </c>
      <c r="F825" t="s">
        <v>58</v>
      </c>
      <c r="G825">
        <v>1</v>
      </c>
      <c r="H825">
        <f t="shared" si="24"/>
        <v>2</v>
      </c>
      <c r="I825" s="6">
        <f t="shared" si="25"/>
        <v>1</v>
      </c>
    </row>
    <row r="826" spans="1:9" x14ac:dyDescent="0.2">
      <c r="A826" t="s">
        <v>2476</v>
      </c>
      <c r="B826">
        <v>7</v>
      </c>
      <c r="C826" t="s">
        <v>80</v>
      </c>
      <c r="D826" t="s">
        <v>2477</v>
      </c>
      <c r="E826" t="s">
        <v>2051</v>
      </c>
      <c r="F826" t="s">
        <v>108</v>
      </c>
      <c r="G826">
        <v>1</v>
      </c>
      <c r="H826">
        <f t="shared" si="24"/>
        <v>2</v>
      </c>
      <c r="I826" s="6">
        <f t="shared" si="25"/>
        <v>1</v>
      </c>
    </row>
    <row r="827" spans="1:9" x14ac:dyDescent="0.2">
      <c r="A827" t="s">
        <v>2478</v>
      </c>
      <c r="B827">
        <v>2</v>
      </c>
      <c r="C827" t="s">
        <v>39</v>
      </c>
      <c r="D827" t="s">
        <v>2479</v>
      </c>
      <c r="E827" t="s">
        <v>2480</v>
      </c>
      <c r="F827" t="s">
        <v>29</v>
      </c>
      <c r="G827">
        <v>1</v>
      </c>
      <c r="H827">
        <f t="shared" si="24"/>
        <v>8</v>
      </c>
      <c r="I827" s="6">
        <f t="shared" si="25"/>
        <v>0.875</v>
      </c>
    </row>
    <row r="828" spans="1:9" x14ac:dyDescent="0.2">
      <c r="A828" t="s">
        <v>2481</v>
      </c>
      <c r="B828">
        <v>0</v>
      </c>
      <c r="C828" t="s">
        <v>8</v>
      </c>
      <c r="D828" t="s">
        <v>2482</v>
      </c>
      <c r="E828" t="s">
        <v>2483</v>
      </c>
      <c r="F828" t="s">
        <v>16</v>
      </c>
      <c r="G828">
        <v>1</v>
      </c>
      <c r="H828">
        <f t="shared" si="24"/>
        <v>5</v>
      </c>
      <c r="I828" s="6">
        <f t="shared" si="25"/>
        <v>0.6</v>
      </c>
    </row>
    <row r="829" spans="1:9" x14ac:dyDescent="0.2">
      <c r="A829" t="s">
        <v>2484</v>
      </c>
      <c r="B829">
        <v>8</v>
      </c>
      <c r="C829" t="s">
        <v>13</v>
      </c>
      <c r="D829" t="s">
        <v>2485</v>
      </c>
      <c r="E829" t="s">
        <v>2486</v>
      </c>
      <c r="F829" t="s">
        <v>50</v>
      </c>
      <c r="G829">
        <v>1</v>
      </c>
      <c r="H829">
        <f t="shared" si="24"/>
        <v>2</v>
      </c>
      <c r="I829" s="6">
        <f t="shared" si="25"/>
        <v>0.5</v>
      </c>
    </row>
    <row r="830" spans="1:9" x14ac:dyDescent="0.2">
      <c r="A830" t="s">
        <v>2487</v>
      </c>
      <c r="B830">
        <v>6</v>
      </c>
      <c r="C830" t="s">
        <v>13</v>
      </c>
      <c r="D830" t="s">
        <v>2488</v>
      </c>
      <c r="E830" t="s">
        <v>2489</v>
      </c>
      <c r="F830" t="s">
        <v>104</v>
      </c>
      <c r="G830">
        <v>1</v>
      </c>
      <c r="H830">
        <f t="shared" si="24"/>
        <v>4</v>
      </c>
      <c r="I830" s="6">
        <f t="shared" si="25"/>
        <v>0.25</v>
      </c>
    </row>
    <row r="831" spans="1:9" x14ac:dyDescent="0.2">
      <c r="A831" t="s">
        <v>2490</v>
      </c>
      <c r="B831">
        <v>1</v>
      </c>
      <c r="C831" t="s">
        <v>39</v>
      </c>
      <c r="D831" t="s">
        <v>2491</v>
      </c>
      <c r="E831" t="s">
        <v>2492</v>
      </c>
      <c r="F831" t="s">
        <v>46</v>
      </c>
      <c r="G831">
        <v>0</v>
      </c>
      <c r="H831">
        <f t="shared" si="24"/>
        <v>3</v>
      </c>
      <c r="I831" s="6">
        <f t="shared" si="25"/>
        <v>0.66666666666666663</v>
      </c>
    </row>
    <row r="832" spans="1:9" x14ac:dyDescent="0.2">
      <c r="A832" t="s">
        <v>2493</v>
      </c>
      <c r="B832">
        <v>5</v>
      </c>
      <c r="C832" t="s">
        <v>80</v>
      </c>
      <c r="D832" t="s">
        <v>2494</v>
      </c>
      <c r="E832" t="s">
        <v>2495</v>
      </c>
      <c r="F832" t="s">
        <v>37</v>
      </c>
      <c r="G832">
        <v>1</v>
      </c>
      <c r="H832">
        <f t="shared" si="24"/>
        <v>8</v>
      </c>
      <c r="I832" s="6">
        <f t="shared" si="25"/>
        <v>0.625</v>
      </c>
    </row>
    <row r="833" spans="1:9" x14ac:dyDescent="0.2">
      <c r="A833" t="s">
        <v>2496</v>
      </c>
      <c r="B833">
        <v>5</v>
      </c>
      <c r="C833" t="s">
        <v>8</v>
      </c>
      <c r="D833" t="s">
        <v>2497</v>
      </c>
      <c r="E833" t="s">
        <v>275</v>
      </c>
      <c r="F833" t="s">
        <v>104</v>
      </c>
      <c r="G833">
        <v>1</v>
      </c>
      <c r="H833">
        <f t="shared" si="24"/>
        <v>4</v>
      </c>
      <c r="I833" s="6">
        <f t="shared" si="25"/>
        <v>0.25</v>
      </c>
    </row>
    <row r="834" spans="1:9" x14ac:dyDescent="0.2">
      <c r="A834" t="s">
        <v>2498</v>
      </c>
      <c r="B834">
        <v>8</v>
      </c>
      <c r="C834" t="s">
        <v>22</v>
      </c>
      <c r="D834" t="s">
        <v>2499</v>
      </c>
      <c r="E834" t="s">
        <v>2500</v>
      </c>
      <c r="F834" t="s">
        <v>62</v>
      </c>
      <c r="G834">
        <v>0</v>
      </c>
      <c r="H834">
        <f t="shared" ref="H834:H897" si="26">COUNTIF($F$2:$F$100, F834)</f>
        <v>6</v>
      </c>
      <c r="I834" s="6">
        <f t="shared" ref="I834:I897" si="27">SUMIFS($G$2:$G$100, $F$2:$F$100, F834) / COUNTIF($F$2:$F$100, F834)</f>
        <v>0.5</v>
      </c>
    </row>
    <row r="835" spans="1:9" x14ac:dyDescent="0.2">
      <c r="A835" t="s">
        <v>2501</v>
      </c>
      <c r="B835">
        <v>4</v>
      </c>
      <c r="C835" t="s">
        <v>13</v>
      </c>
      <c r="D835" t="s">
        <v>2502</v>
      </c>
      <c r="E835" t="s">
        <v>2503</v>
      </c>
      <c r="F835" t="s">
        <v>50</v>
      </c>
      <c r="G835">
        <v>0</v>
      </c>
      <c r="H835">
        <f t="shared" si="26"/>
        <v>2</v>
      </c>
      <c r="I835" s="6">
        <f t="shared" si="27"/>
        <v>0.5</v>
      </c>
    </row>
    <row r="836" spans="1:9" x14ac:dyDescent="0.2">
      <c r="A836" t="s">
        <v>2504</v>
      </c>
      <c r="B836">
        <v>2</v>
      </c>
      <c r="C836" t="s">
        <v>13</v>
      </c>
      <c r="D836" t="s">
        <v>2505</v>
      </c>
      <c r="E836" t="s">
        <v>2506</v>
      </c>
      <c r="F836" t="s">
        <v>11</v>
      </c>
      <c r="G836">
        <v>0</v>
      </c>
      <c r="H836">
        <f t="shared" si="26"/>
        <v>4</v>
      </c>
      <c r="I836" s="6">
        <f t="shared" si="27"/>
        <v>0.5</v>
      </c>
    </row>
    <row r="837" spans="1:9" x14ac:dyDescent="0.2">
      <c r="A837" t="s">
        <v>2507</v>
      </c>
      <c r="B837">
        <v>11</v>
      </c>
      <c r="C837" t="s">
        <v>22</v>
      </c>
      <c r="D837" t="s">
        <v>2508</v>
      </c>
      <c r="E837" t="s">
        <v>2509</v>
      </c>
      <c r="F837" t="s">
        <v>25</v>
      </c>
      <c r="G837">
        <v>1</v>
      </c>
      <c r="H837">
        <f t="shared" si="26"/>
        <v>7</v>
      </c>
      <c r="I837" s="6">
        <f t="shared" si="27"/>
        <v>0.7142857142857143</v>
      </c>
    </row>
    <row r="838" spans="1:9" x14ac:dyDescent="0.2">
      <c r="A838" t="s">
        <v>2510</v>
      </c>
      <c r="B838">
        <v>1</v>
      </c>
      <c r="C838" t="s">
        <v>22</v>
      </c>
      <c r="D838" t="s">
        <v>2511</v>
      </c>
      <c r="E838" t="s">
        <v>2512</v>
      </c>
      <c r="F838" t="s">
        <v>54</v>
      </c>
      <c r="G838">
        <v>1</v>
      </c>
      <c r="H838">
        <f t="shared" si="26"/>
        <v>11</v>
      </c>
      <c r="I838" s="6">
        <f t="shared" si="27"/>
        <v>0.63636363636363635</v>
      </c>
    </row>
    <row r="839" spans="1:9" x14ac:dyDescent="0.2">
      <c r="A839" t="s">
        <v>2513</v>
      </c>
      <c r="B839">
        <v>4</v>
      </c>
      <c r="C839" t="s">
        <v>8</v>
      </c>
      <c r="D839" t="s">
        <v>2514</v>
      </c>
      <c r="E839" t="s">
        <v>2515</v>
      </c>
      <c r="F839" t="s">
        <v>108</v>
      </c>
      <c r="G839">
        <v>0</v>
      </c>
      <c r="H839">
        <f t="shared" si="26"/>
        <v>2</v>
      </c>
      <c r="I839" s="6">
        <f t="shared" si="27"/>
        <v>1</v>
      </c>
    </row>
    <row r="840" spans="1:9" x14ac:dyDescent="0.2">
      <c r="A840" t="s">
        <v>2516</v>
      </c>
      <c r="B840">
        <v>2</v>
      </c>
      <c r="C840" t="s">
        <v>80</v>
      </c>
      <c r="D840" t="s">
        <v>2517</v>
      </c>
      <c r="E840" t="s">
        <v>2518</v>
      </c>
      <c r="F840" t="s">
        <v>72</v>
      </c>
      <c r="G840">
        <v>0</v>
      </c>
      <c r="H840">
        <f t="shared" si="26"/>
        <v>4</v>
      </c>
      <c r="I840" s="6">
        <f t="shared" si="27"/>
        <v>0.5</v>
      </c>
    </row>
    <row r="841" spans="1:9" x14ac:dyDescent="0.2">
      <c r="A841" t="s">
        <v>2519</v>
      </c>
      <c r="B841">
        <v>1</v>
      </c>
      <c r="C841" t="s">
        <v>80</v>
      </c>
      <c r="D841" t="s">
        <v>2520</v>
      </c>
      <c r="E841" t="s">
        <v>2521</v>
      </c>
      <c r="F841" t="s">
        <v>37</v>
      </c>
      <c r="G841">
        <v>0</v>
      </c>
      <c r="H841">
        <f t="shared" si="26"/>
        <v>8</v>
      </c>
      <c r="I841" s="6">
        <f t="shared" si="27"/>
        <v>0.625</v>
      </c>
    </row>
    <row r="842" spans="1:9" x14ac:dyDescent="0.2">
      <c r="A842" t="s">
        <v>2522</v>
      </c>
      <c r="B842">
        <v>10</v>
      </c>
      <c r="C842" t="s">
        <v>80</v>
      </c>
      <c r="D842" t="s">
        <v>2523</v>
      </c>
      <c r="E842" t="s">
        <v>2524</v>
      </c>
      <c r="F842" t="s">
        <v>42</v>
      </c>
      <c r="G842">
        <v>0</v>
      </c>
      <c r="H842">
        <f t="shared" si="26"/>
        <v>4</v>
      </c>
      <c r="I842" s="6">
        <f t="shared" si="27"/>
        <v>1</v>
      </c>
    </row>
    <row r="843" spans="1:9" x14ac:dyDescent="0.2">
      <c r="A843" t="s">
        <v>2525</v>
      </c>
      <c r="B843">
        <v>0</v>
      </c>
      <c r="C843" t="s">
        <v>22</v>
      </c>
      <c r="D843" t="s">
        <v>2526</v>
      </c>
      <c r="E843" t="s">
        <v>2527</v>
      </c>
      <c r="F843" t="s">
        <v>16</v>
      </c>
      <c r="G843">
        <v>0</v>
      </c>
      <c r="H843">
        <f t="shared" si="26"/>
        <v>5</v>
      </c>
      <c r="I843" s="6">
        <f t="shared" si="27"/>
        <v>0.6</v>
      </c>
    </row>
    <row r="844" spans="1:9" x14ac:dyDescent="0.2">
      <c r="A844" t="s">
        <v>2528</v>
      </c>
      <c r="B844">
        <v>2</v>
      </c>
      <c r="C844" t="s">
        <v>22</v>
      </c>
      <c r="D844" t="s">
        <v>2529</v>
      </c>
      <c r="E844" t="s">
        <v>2530</v>
      </c>
      <c r="F844" t="s">
        <v>37</v>
      </c>
      <c r="G844">
        <v>0</v>
      </c>
      <c r="H844">
        <f t="shared" si="26"/>
        <v>8</v>
      </c>
      <c r="I844" s="6">
        <f t="shared" si="27"/>
        <v>0.625</v>
      </c>
    </row>
    <row r="845" spans="1:9" x14ac:dyDescent="0.2">
      <c r="A845" t="s">
        <v>2531</v>
      </c>
      <c r="B845">
        <v>0</v>
      </c>
      <c r="C845" t="s">
        <v>22</v>
      </c>
      <c r="D845" t="s">
        <v>2532</v>
      </c>
      <c r="E845" t="s">
        <v>2533</v>
      </c>
      <c r="F845" t="s">
        <v>72</v>
      </c>
      <c r="G845">
        <v>1</v>
      </c>
      <c r="H845">
        <f t="shared" si="26"/>
        <v>4</v>
      </c>
      <c r="I845" s="6">
        <f t="shared" si="27"/>
        <v>0.5</v>
      </c>
    </row>
    <row r="846" spans="1:9" x14ac:dyDescent="0.2">
      <c r="A846" t="s">
        <v>2534</v>
      </c>
      <c r="B846">
        <v>7</v>
      </c>
      <c r="C846" t="s">
        <v>22</v>
      </c>
      <c r="D846" t="s">
        <v>2535</v>
      </c>
      <c r="E846" t="s">
        <v>2536</v>
      </c>
      <c r="F846" t="s">
        <v>20</v>
      </c>
      <c r="G846">
        <v>0</v>
      </c>
      <c r="H846">
        <f t="shared" si="26"/>
        <v>8</v>
      </c>
      <c r="I846" s="6">
        <f t="shared" si="27"/>
        <v>0.5</v>
      </c>
    </row>
    <row r="847" spans="1:9" x14ac:dyDescent="0.2">
      <c r="A847" t="s">
        <v>2537</v>
      </c>
      <c r="B847">
        <v>3</v>
      </c>
      <c r="C847" t="s">
        <v>80</v>
      </c>
      <c r="D847" t="s">
        <v>2538</v>
      </c>
      <c r="E847" t="s">
        <v>2539</v>
      </c>
      <c r="F847" t="s">
        <v>11</v>
      </c>
      <c r="G847">
        <v>1</v>
      </c>
      <c r="H847">
        <f t="shared" si="26"/>
        <v>4</v>
      </c>
      <c r="I847" s="6">
        <f t="shared" si="27"/>
        <v>0.5</v>
      </c>
    </row>
    <row r="848" spans="1:9" x14ac:dyDescent="0.2">
      <c r="A848" t="s">
        <v>2540</v>
      </c>
      <c r="B848">
        <v>7</v>
      </c>
      <c r="C848" t="s">
        <v>8</v>
      </c>
      <c r="D848" t="s">
        <v>2541</v>
      </c>
      <c r="E848" t="s">
        <v>2542</v>
      </c>
      <c r="F848" t="s">
        <v>142</v>
      </c>
      <c r="G848">
        <v>0</v>
      </c>
      <c r="H848">
        <f t="shared" si="26"/>
        <v>5</v>
      </c>
      <c r="I848" s="6">
        <f t="shared" si="27"/>
        <v>0.4</v>
      </c>
    </row>
    <row r="849" spans="1:9" x14ac:dyDescent="0.2">
      <c r="A849" t="s">
        <v>2543</v>
      </c>
      <c r="B849">
        <v>2</v>
      </c>
      <c r="C849" t="s">
        <v>39</v>
      </c>
      <c r="D849" t="s">
        <v>2544</v>
      </c>
      <c r="E849" t="s">
        <v>2545</v>
      </c>
      <c r="F849" t="s">
        <v>142</v>
      </c>
      <c r="G849">
        <v>1</v>
      </c>
      <c r="H849">
        <f t="shared" si="26"/>
        <v>5</v>
      </c>
      <c r="I849" s="6">
        <f t="shared" si="27"/>
        <v>0.4</v>
      </c>
    </row>
    <row r="850" spans="1:9" x14ac:dyDescent="0.2">
      <c r="A850" t="s">
        <v>2546</v>
      </c>
      <c r="B850">
        <v>3</v>
      </c>
      <c r="C850" t="s">
        <v>8</v>
      </c>
      <c r="D850" t="s">
        <v>2547</v>
      </c>
      <c r="E850" t="s">
        <v>2548</v>
      </c>
      <c r="F850" t="s">
        <v>142</v>
      </c>
      <c r="G850">
        <v>1</v>
      </c>
      <c r="H850">
        <f t="shared" si="26"/>
        <v>5</v>
      </c>
      <c r="I850" s="6">
        <f t="shared" si="27"/>
        <v>0.4</v>
      </c>
    </row>
    <row r="851" spans="1:9" x14ac:dyDescent="0.2">
      <c r="A851" t="s">
        <v>2549</v>
      </c>
      <c r="B851">
        <v>0</v>
      </c>
      <c r="C851" t="s">
        <v>22</v>
      </c>
      <c r="D851" t="s">
        <v>2550</v>
      </c>
      <c r="E851" t="s">
        <v>2551</v>
      </c>
      <c r="F851" t="s">
        <v>207</v>
      </c>
      <c r="G851">
        <v>1</v>
      </c>
      <c r="H851">
        <f t="shared" si="26"/>
        <v>3</v>
      </c>
      <c r="I851" s="6">
        <f t="shared" si="27"/>
        <v>1</v>
      </c>
    </row>
    <row r="852" spans="1:9" x14ac:dyDescent="0.2">
      <c r="A852" t="s">
        <v>2552</v>
      </c>
      <c r="B852">
        <v>6</v>
      </c>
      <c r="C852" t="s">
        <v>80</v>
      </c>
      <c r="D852" t="s">
        <v>2553</v>
      </c>
      <c r="E852" t="s">
        <v>2554</v>
      </c>
      <c r="F852" t="s">
        <v>58</v>
      </c>
      <c r="G852">
        <v>1</v>
      </c>
      <c r="H852">
        <f t="shared" si="26"/>
        <v>2</v>
      </c>
      <c r="I852" s="6">
        <f t="shared" si="27"/>
        <v>1</v>
      </c>
    </row>
    <row r="853" spans="1:9" x14ac:dyDescent="0.2">
      <c r="A853" t="s">
        <v>2555</v>
      </c>
      <c r="B853">
        <v>5</v>
      </c>
      <c r="C853" t="s">
        <v>80</v>
      </c>
      <c r="D853" t="s">
        <v>2556</v>
      </c>
      <c r="E853" t="s">
        <v>2557</v>
      </c>
      <c r="F853" t="s">
        <v>62</v>
      </c>
      <c r="G853">
        <v>1</v>
      </c>
      <c r="H853">
        <f t="shared" si="26"/>
        <v>6</v>
      </c>
      <c r="I853" s="6">
        <f t="shared" si="27"/>
        <v>0.5</v>
      </c>
    </row>
    <row r="854" spans="1:9" x14ac:dyDescent="0.2">
      <c r="A854" t="s">
        <v>2558</v>
      </c>
      <c r="B854">
        <v>1</v>
      </c>
      <c r="C854" t="s">
        <v>13</v>
      </c>
      <c r="D854" t="s">
        <v>2559</v>
      </c>
      <c r="E854" t="s">
        <v>2560</v>
      </c>
      <c r="F854" t="s">
        <v>42</v>
      </c>
      <c r="G854">
        <v>1</v>
      </c>
      <c r="H854">
        <f t="shared" si="26"/>
        <v>4</v>
      </c>
      <c r="I854" s="6">
        <f t="shared" si="27"/>
        <v>1</v>
      </c>
    </row>
    <row r="855" spans="1:9" x14ac:dyDescent="0.2">
      <c r="A855" t="s">
        <v>2561</v>
      </c>
      <c r="B855">
        <v>1</v>
      </c>
      <c r="C855" t="s">
        <v>39</v>
      </c>
      <c r="D855" t="s">
        <v>2562</v>
      </c>
      <c r="E855" t="s">
        <v>2563</v>
      </c>
      <c r="F855" t="s">
        <v>11</v>
      </c>
      <c r="G855">
        <v>1</v>
      </c>
      <c r="H855">
        <f t="shared" si="26"/>
        <v>4</v>
      </c>
      <c r="I855" s="6">
        <f t="shared" si="27"/>
        <v>0.5</v>
      </c>
    </row>
    <row r="856" spans="1:9" x14ac:dyDescent="0.2">
      <c r="A856" t="s">
        <v>2564</v>
      </c>
      <c r="B856">
        <v>5</v>
      </c>
      <c r="C856" t="s">
        <v>8</v>
      </c>
      <c r="D856" t="s">
        <v>2565</v>
      </c>
      <c r="E856" t="s">
        <v>2566</v>
      </c>
      <c r="F856" t="s">
        <v>50</v>
      </c>
      <c r="G856">
        <v>0</v>
      </c>
      <c r="H856">
        <f t="shared" si="26"/>
        <v>2</v>
      </c>
      <c r="I856" s="6">
        <f t="shared" si="27"/>
        <v>0.5</v>
      </c>
    </row>
    <row r="857" spans="1:9" x14ac:dyDescent="0.2">
      <c r="A857" t="s">
        <v>2567</v>
      </c>
      <c r="B857">
        <v>10</v>
      </c>
      <c r="C857" t="s">
        <v>13</v>
      </c>
      <c r="D857" t="s">
        <v>2568</v>
      </c>
      <c r="E857" t="s">
        <v>2569</v>
      </c>
      <c r="F857" t="s">
        <v>33</v>
      </c>
      <c r="G857">
        <v>1</v>
      </c>
      <c r="H857">
        <f t="shared" si="26"/>
        <v>4</v>
      </c>
      <c r="I857" s="6">
        <f t="shared" si="27"/>
        <v>0.5</v>
      </c>
    </row>
    <row r="858" spans="1:9" x14ac:dyDescent="0.2">
      <c r="A858" t="s">
        <v>2570</v>
      </c>
      <c r="B858">
        <v>8</v>
      </c>
      <c r="C858" t="s">
        <v>8</v>
      </c>
      <c r="D858" t="s">
        <v>2571</v>
      </c>
      <c r="E858" t="s">
        <v>2572</v>
      </c>
      <c r="F858" t="s">
        <v>11</v>
      </c>
      <c r="G858">
        <v>1</v>
      </c>
      <c r="H858">
        <f t="shared" si="26"/>
        <v>4</v>
      </c>
      <c r="I858" s="6">
        <f t="shared" si="27"/>
        <v>0.5</v>
      </c>
    </row>
    <row r="859" spans="1:9" x14ac:dyDescent="0.2">
      <c r="A859" t="s">
        <v>2573</v>
      </c>
      <c r="B859">
        <v>6</v>
      </c>
      <c r="C859" t="s">
        <v>13</v>
      </c>
      <c r="D859" t="s">
        <v>2574</v>
      </c>
      <c r="E859" t="s">
        <v>2575</v>
      </c>
      <c r="F859" t="s">
        <v>46</v>
      </c>
      <c r="G859">
        <v>1</v>
      </c>
      <c r="H859">
        <f t="shared" si="26"/>
        <v>3</v>
      </c>
      <c r="I859" s="6">
        <f t="shared" si="27"/>
        <v>0.66666666666666663</v>
      </c>
    </row>
    <row r="860" spans="1:9" x14ac:dyDescent="0.2">
      <c r="A860" t="s">
        <v>2576</v>
      </c>
      <c r="B860">
        <v>5</v>
      </c>
      <c r="C860" t="s">
        <v>13</v>
      </c>
      <c r="D860" t="s">
        <v>2577</v>
      </c>
      <c r="E860" t="s">
        <v>2578</v>
      </c>
      <c r="F860" t="s">
        <v>33</v>
      </c>
      <c r="G860">
        <v>0</v>
      </c>
      <c r="H860">
        <f t="shared" si="26"/>
        <v>4</v>
      </c>
      <c r="I860" s="6">
        <f t="shared" si="27"/>
        <v>0.5</v>
      </c>
    </row>
    <row r="861" spans="1:9" x14ac:dyDescent="0.2">
      <c r="A861" t="s">
        <v>2579</v>
      </c>
      <c r="B861">
        <v>0</v>
      </c>
      <c r="C861" t="s">
        <v>13</v>
      </c>
      <c r="D861" t="s">
        <v>2580</v>
      </c>
      <c r="E861" t="s">
        <v>2581</v>
      </c>
      <c r="F861" t="s">
        <v>58</v>
      </c>
      <c r="G861">
        <v>1</v>
      </c>
      <c r="H861">
        <f t="shared" si="26"/>
        <v>2</v>
      </c>
      <c r="I861" s="6">
        <f t="shared" si="27"/>
        <v>1</v>
      </c>
    </row>
    <row r="862" spans="1:9" x14ac:dyDescent="0.2">
      <c r="A862" t="s">
        <v>2582</v>
      </c>
      <c r="B862">
        <v>7</v>
      </c>
      <c r="C862" t="s">
        <v>80</v>
      </c>
      <c r="D862" t="s">
        <v>2583</v>
      </c>
      <c r="E862" t="s">
        <v>2584</v>
      </c>
      <c r="F862" t="s">
        <v>62</v>
      </c>
      <c r="G862">
        <v>0</v>
      </c>
      <c r="H862">
        <f t="shared" si="26"/>
        <v>6</v>
      </c>
      <c r="I862" s="6">
        <f t="shared" si="27"/>
        <v>0.5</v>
      </c>
    </row>
    <row r="863" spans="1:9" x14ac:dyDescent="0.2">
      <c r="A863" t="s">
        <v>2585</v>
      </c>
      <c r="B863">
        <v>8</v>
      </c>
      <c r="C863" t="s">
        <v>8</v>
      </c>
      <c r="D863" t="s">
        <v>2586</v>
      </c>
      <c r="E863" t="s">
        <v>2587</v>
      </c>
      <c r="F863" t="s">
        <v>58</v>
      </c>
      <c r="G863">
        <v>1</v>
      </c>
      <c r="H863">
        <f t="shared" si="26"/>
        <v>2</v>
      </c>
      <c r="I863" s="6">
        <f t="shared" si="27"/>
        <v>1</v>
      </c>
    </row>
    <row r="864" spans="1:9" x14ac:dyDescent="0.2">
      <c r="A864" t="s">
        <v>2588</v>
      </c>
      <c r="B864">
        <v>1</v>
      </c>
      <c r="C864" t="s">
        <v>13</v>
      </c>
      <c r="D864" t="s">
        <v>2589</v>
      </c>
      <c r="E864" t="s">
        <v>2590</v>
      </c>
      <c r="F864" t="s">
        <v>72</v>
      </c>
      <c r="G864">
        <v>1</v>
      </c>
      <c r="H864">
        <f t="shared" si="26"/>
        <v>4</v>
      </c>
      <c r="I864" s="6">
        <f t="shared" si="27"/>
        <v>0.5</v>
      </c>
    </row>
    <row r="865" spans="1:9" x14ac:dyDescent="0.2">
      <c r="A865" t="s">
        <v>2591</v>
      </c>
      <c r="B865">
        <v>0</v>
      </c>
      <c r="C865" t="s">
        <v>13</v>
      </c>
      <c r="D865" t="s">
        <v>2592</v>
      </c>
      <c r="E865" t="s">
        <v>2593</v>
      </c>
      <c r="F865" t="s">
        <v>20</v>
      </c>
      <c r="G865">
        <v>1</v>
      </c>
      <c r="H865">
        <f t="shared" si="26"/>
        <v>8</v>
      </c>
      <c r="I865" s="6">
        <f t="shared" si="27"/>
        <v>0.5</v>
      </c>
    </row>
    <row r="866" spans="1:9" x14ac:dyDescent="0.2">
      <c r="A866" t="s">
        <v>2594</v>
      </c>
      <c r="B866">
        <v>1</v>
      </c>
      <c r="C866" t="s">
        <v>39</v>
      </c>
      <c r="D866" t="s">
        <v>2595</v>
      </c>
      <c r="E866" t="s">
        <v>2596</v>
      </c>
      <c r="F866" t="s">
        <v>50</v>
      </c>
      <c r="G866">
        <v>1</v>
      </c>
      <c r="H866">
        <f t="shared" si="26"/>
        <v>2</v>
      </c>
      <c r="I866" s="6">
        <f t="shared" si="27"/>
        <v>0.5</v>
      </c>
    </row>
    <row r="867" spans="1:9" x14ac:dyDescent="0.2">
      <c r="A867" t="s">
        <v>2597</v>
      </c>
      <c r="B867">
        <v>10</v>
      </c>
      <c r="C867" t="s">
        <v>8</v>
      </c>
      <c r="D867" t="s">
        <v>2598</v>
      </c>
      <c r="E867" t="s">
        <v>2599</v>
      </c>
      <c r="F867" t="s">
        <v>11</v>
      </c>
      <c r="G867">
        <v>1</v>
      </c>
      <c r="H867">
        <f t="shared" si="26"/>
        <v>4</v>
      </c>
      <c r="I867" s="6">
        <f t="shared" si="27"/>
        <v>0.5</v>
      </c>
    </row>
    <row r="868" spans="1:9" x14ac:dyDescent="0.2">
      <c r="A868" t="s">
        <v>2600</v>
      </c>
      <c r="B868">
        <v>0</v>
      </c>
      <c r="C868" t="s">
        <v>80</v>
      </c>
      <c r="D868" t="s">
        <v>2601</v>
      </c>
      <c r="E868" t="s">
        <v>2602</v>
      </c>
      <c r="F868" t="s">
        <v>16</v>
      </c>
      <c r="G868">
        <v>1</v>
      </c>
      <c r="H868">
        <f t="shared" si="26"/>
        <v>5</v>
      </c>
      <c r="I868" s="6">
        <f t="shared" si="27"/>
        <v>0.6</v>
      </c>
    </row>
    <row r="869" spans="1:9" x14ac:dyDescent="0.2">
      <c r="A869" t="s">
        <v>2603</v>
      </c>
      <c r="B869">
        <v>1</v>
      </c>
      <c r="C869" t="s">
        <v>39</v>
      </c>
      <c r="D869" t="s">
        <v>2604</v>
      </c>
      <c r="E869" t="s">
        <v>2605</v>
      </c>
      <c r="F869" t="s">
        <v>54</v>
      </c>
      <c r="G869">
        <v>1</v>
      </c>
      <c r="H869">
        <f t="shared" si="26"/>
        <v>11</v>
      </c>
      <c r="I869" s="6">
        <f t="shared" si="27"/>
        <v>0.63636363636363635</v>
      </c>
    </row>
    <row r="870" spans="1:9" x14ac:dyDescent="0.2">
      <c r="A870" t="s">
        <v>2606</v>
      </c>
      <c r="B870">
        <v>1</v>
      </c>
      <c r="C870" t="s">
        <v>39</v>
      </c>
      <c r="D870" t="s">
        <v>2607</v>
      </c>
      <c r="E870" t="s">
        <v>2608</v>
      </c>
      <c r="F870" t="s">
        <v>37</v>
      </c>
      <c r="G870">
        <v>0</v>
      </c>
      <c r="H870">
        <f t="shared" si="26"/>
        <v>8</v>
      </c>
      <c r="I870" s="6">
        <f t="shared" si="27"/>
        <v>0.625</v>
      </c>
    </row>
    <row r="871" spans="1:9" x14ac:dyDescent="0.2">
      <c r="A871" t="s">
        <v>2609</v>
      </c>
      <c r="B871">
        <v>1</v>
      </c>
      <c r="C871" t="s">
        <v>39</v>
      </c>
      <c r="D871" t="s">
        <v>2610</v>
      </c>
      <c r="E871" t="s">
        <v>2611</v>
      </c>
      <c r="F871" t="s">
        <v>194</v>
      </c>
      <c r="G871">
        <v>1</v>
      </c>
      <c r="H871">
        <f t="shared" si="26"/>
        <v>3</v>
      </c>
      <c r="I871" s="6">
        <f t="shared" si="27"/>
        <v>1</v>
      </c>
    </row>
    <row r="872" spans="1:9" x14ac:dyDescent="0.2">
      <c r="A872" t="s">
        <v>2612</v>
      </c>
      <c r="B872">
        <v>1</v>
      </c>
      <c r="C872" t="s">
        <v>8</v>
      </c>
      <c r="D872" t="s">
        <v>2613</v>
      </c>
      <c r="E872" t="s">
        <v>2614</v>
      </c>
      <c r="F872" t="s">
        <v>221</v>
      </c>
      <c r="G872">
        <v>0</v>
      </c>
      <c r="H872">
        <f t="shared" si="26"/>
        <v>3</v>
      </c>
      <c r="I872" s="6">
        <f t="shared" si="27"/>
        <v>0.66666666666666663</v>
      </c>
    </row>
    <row r="873" spans="1:9" x14ac:dyDescent="0.2">
      <c r="A873" t="s">
        <v>2615</v>
      </c>
      <c r="B873">
        <v>10</v>
      </c>
      <c r="C873" t="s">
        <v>80</v>
      </c>
      <c r="D873" t="s">
        <v>2616</v>
      </c>
      <c r="E873" t="s">
        <v>2617</v>
      </c>
      <c r="F873" t="s">
        <v>42</v>
      </c>
      <c r="G873">
        <v>0</v>
      </c>
      <c r="H873">
        <f t="shared" si="26"/>
        <v>4</v>
      </c>
      <c r="I873" s="6">
        <f t="shared" si="27"/>
        <v>1</v>
      </c>
    </row>
    <row r="874" spans="1:9" x14ac:dyDescent="0.2">
      <c r="A874" t="s">
        <v>2618</v>
      </c>
      <c r="B874">
        <v>8</v>
      </c>
      <c r="C874" t="s">
        <v>80</v>
      </c>
      <c r="D874" t="s">
        <v>2619</v>
      </c>
      <c r="E874" t="s">
        <v>2620</v>
      </c>
      <c r="F874" t="s">
        <v>16</v>
      </c>
      <c r="G874">
        <v>1</v>
      </c>
      <c r="H874">
        <f t="shared" si="26"/>
        <v>5</v>
      </c>
      <c r="I874" s="6">
        <f t="shared" si="27"/>
        <v>0.6</v>
      </c>
    </row>
    <row r="875" spans="1:9" x14ac:dyDescent="0.2">
      <c r="A875" t="s">
        <v>2621</v>
      </c>
      <c r="B875">
        <v>0</v>
      </c>
      <c r="C875" t="s">
        <v>80</v>
      </c>
      <c r="D875" t="s">
        <v>2622</v>
      </c>
      <c r="E875" t="s">
        <v>2623</v>
      </c>
      <c r="F875" t="s">
        <v>33</v>
      </c>
      <c r="G875">
        <v>0</v>
      </c>
      <c r="H875">
        <f t="shared" si="26"/>
        <v>4</v>
      </c>
      <c r="I875" s="6">
        <f t="shared" si="27"/>
        <v>0.5</v>
      </c>
    </row>
    <row r="876" spans="1:9" x14ac:dyDescent="0.2">
      <c r="A876" t="s">
        <v>2624</v>
      </c>
      <c r="B876">
        <v>3</v>
      </c>
      <c r="C876" t="s">
        <v>8</v>
      </c>
      <c r="D876" t="s">
        <v>2625</v>
      </c>
      <c r="E876" t="s">
        <v>2626</v>
      </c>
      <c r="F876" t="s">
        <v>221</v>
      </c>
      <c r="G876">
        <v>1</v>
      </c>
      <c r="H876">
        <f t="shared" si="26"/>
        <v>3</v>
      </c>
      <c r="I876" s="6">
        <f t="shared" si="27"/>
        <v>0.66666666666666663</v>
      </c>
    </row>
    <row r="877" spans="1:9" x14ac:dyDescent="0.2">
      <c r="A877" t="s">
        <v>2627</v>
      </c>
      <c r="B877">
        <v>9</v>
      </c>
      <c r="C877" t="s">
        <v>13</v>
      </c>
      <c r="D877" t="s">
        <v>2628</v>
      </c>
      <c r="E877" t="s">
        <v>2629</v>
      </c>
      <c r="F877" t="s">
        <v>221</v>
      </c>
      <c r="G877">
        <v>1</v>
      </c>
      <c r="H877">
        <f t="shared" si="26"/>
        <v>3</v>
      </c>
      <c r="I877" s="6">
        <f t="shared" si="27"/>
        <v>0.66666666666666663</v>
      </c>
    </row>
    <row r="878" spans="1:9" x14ac:dyDescent="0.2">
      <c r="A878" t="s">
        <v>2630</v>
      </c>
      <c r="B878">
        <v>0</v>
      </c>
      <c r="C878" t="s">
        <v>80</v>
      </c>
      <c r="D878" t="s">
        <v>2631</v>
      </c>
      <c r="E878" t="s">
        <v>2483</v>
      </c>
      <c r="F878" t="s">
        <v>16</v>
      </c>
      <c r="G878">
        <v>1</v>
      </c>
      <c r="H878">
        <f t="shared" si="26"/>
        <v>5</v>
      </c>
      <c r="I878" s="6">
        <f t="shared" si="27"/>
        <v>0.6</v>
      </c>
    </row>
    <row r="879" spans="1:9" x14ac:dyDescent="0.2">
      <c r="A879" t="s">
        <v>2632</v>
      </c>
      <c r="B879">
        <v>2</v>
      </c>
      <c r="C879" t="s">
        <v>22</v>
      </c>
      <c r="D879" t="s">
        <v>2633</v>
      </c>
      <c r="E879" t="s">
        <v>2634</v>
      </c>
      <c r="F879" t="s">
        <v>29</v>
      </c>
      <c r="G879">
        <v>1</v>
      </c>
      <c r="H879">
        <f t="shared" si="26"/>
        <v>8</v>
      </c>
      <c r="I879" s="6">
        <f t="shared" si="27"/>
        <v>0.875</v>
      </c>
    </row>
    <row r="880" spans="1:9" x14ac:dyDescent="0.2">
      <c r="A880" t="s">
        <v>2635</v>
      </c>
      <c r="B880">
        <v>0</v>
      </c>
      <c r="C880" t="s">
        <v>8</v>
      </c>
      <c r="D880" t="s">
        <v>2636</v>
      </c>
      <c r="E880" t="s">
        <v>2637</v>
      </c>
      <c r="F880" t="s">
        <v>221</v>
      </c>
      <c r="G880">
        <v>0</v>
      </c>
      <c r="H880">
        <f t="shared" si="26"/>
        <v>3</v>
      </c>
      <c r="I880" s="6">
        <f t="shared" si="27"/>
        <v>0.66666666666666663</v>
      </c>
    </row>
    <row r="881" spans="1:9" x14ac:dyDescent="0.2">
      <c r="A881" t="s">
        <v>2638</v>
      </c>
      <c r="B881">
        <v>6</v>
      </c>
      <c r="C881" t="s">
        <v>22</v>
      </c>
      <c r="D881" t="s">
        <v>2639</v>
      </c>
      <c r="E881" t="s">
        <v>2640</v>
      </c>
      <c r="F881" t="s">
        <v>221</v>
      </c>
      <c r="G881">
        <v>1</v>
      </c>
      <c r="H881">
        <f t="shared" si="26"/>
        <v>3</v>
      </c>
      <c r="I881" s="6">
        <f t="shared" si="27"/>
        <v>0.66666666666666663</v>
      </c>
    </row>
    <row r="882" spans="1:9" x14ac:dyDescent="0.2">
      <c r="A882" t="s">
        <v>2641</v>
      </c>
      <c r="B882">
        <v>9</v>
      </c>
      <c r="C882" t="s">
        <v>13</v>
      </c>
      <c r="D882" t="s">
        <v>2642</v>
      </c>
      <c r="E882" t="s">
        <v>2643</v>
      </c>
      <c r="F882" t="s">
        <v>54</v>
      </c>
      <c r="G882">
        <v>0</v>
      </c>
      <c r="H882">
        <f t="shared" si="26"/>
        <v>11</v>
      </c>
      <c r="I882" s="6">
        <f t="shared" si="27"/>
        <v>0.63636363636363635</v>
      </c>
    </row>
    <row r="883" spans="1:9" x14ac:dyDescent="0.2">
      <c r="A883" t="s">
        <v>2644</v>
      </c>
      <c r="B883">
        <v>0</v>
      </c>
      <c r="C883" t="s">
        <v>22</v>
      </c>
      <c r="D883" t="s">
        <v>2645</v>
      </c>
      <c r="E883" t="s">
        <v>2060</v>
      </c>
      <c r="F883" t="s">
        <v>142</v>
      </c>
      <c r="G883">
        <v>1</v>
      </c>
      <c r="H883">
        <f t="shared" si="26"/>
        <v>5</v>
      </c>
      <c r="I883" s="6">
        <f t="shared" si="27"/>
        <v>0.4</v>
      </c>
    </row>
    <row r="884" spans="1:9" x14ac:dyDescent="0.2">
      <c r="A884" t="s">
        <v>2646</v>
      </c>
      <c r="B884">
        <v>5</v>
      </c>
      <c r="C884" t="s">
        <v>8</v>
      </c>
      <c r="D884" t="s">
        <v>2647</v>
      </c>
      <c r="E884" t="s">
        <v>2648</v>
      </c>
      <c r="F884" t="s">
        <v>37</v>
      </c>
      <c r="G884">
        <v>1</v>
      </c>
      <c r="H884">
        <f t="shared" si="26"/>
        <v>8</v>
      </c>
      <c r="I884" s="6">
        <f t="shared" si="27"/>
        <v>0.625</v>
      </c>
    </row>
    <row r="885" spans="1:9" x14ac:dyDescent="0.2">
      <c r="A885" t="s">
        <v>2649</v>
      </c>
      <c r="B885">
        <v>0</v>
      </c>
      <c r="C885" t="s">
        <v>13</v>
      </c>
      <c r="D885" t="s">
        <v>2650</v>
      </c>
      <c r="E885" t="s">
        <v>2651</v>
      </c>
      <c r="F885" t="s">
        <v>221</v>
      </c>
      <c r="G885">
        <v>0</v>
      </c>
      <c r="H885">
        <f t="shared" si="26"/>
        <v>3</v>
      </c>
      <c r="I885" s="6">
        <f t="shared" si="27"/>
        <v>0.66666666666666663</v>
      </c>
    </row>
    <row r="886" spans="1:9" x14ac:dyDescent="0.2">
      <c r="A886" t="s">
        <v>2652</v>
      </c>
      <c r="B886">
        <v>7</v>
      </c>
      <c r="C886" t="s">
        <v>8</v>
      </c>
      <c r="D886" t="s">
        <v>2653</v>
      </c>
      <c r="E886" t="s">
        <v>2654</v>
      </c>
      <c r="F886" t="s">
        <v>194</v>
      </c>
      <c r="G886">
        <v>1</v>
      </c>
      <c r="H886">
        <f t="shared" si="26"/>
        <v>3</v>
      </c>
      <c r="I886" s="6">
        <f t="shared" si="27"/>
        <v>1</v>
      </c>
    </row>
    <row r="887" spans="1:9" x14ac:dyDescent="0.2">
      <c r="A887" t="s">
        <v>2655</v>
      </c>
      <c r="B887">
        <v>6</v>
      </c>
      <c r="C887" t="s">
        <v>80</v>
      </c>
      <c r="D887" t="s">
        <v>2656</v>
      </c>
      <c r="E887" t="s">
        <v>2657</v>
      </c>
      <c r="F887" t="s">
        <v>50</v>
      </c>
      <c r="G887">
        <v>0</v>
      </c>
      <c r="H887">
        <f t="shared" si="26"/>
        <v>2</v>
      </c>
      <c r="I887" s="6">
        <f t="shared" si="27"/>
        <v>0.5</v>
      </c>
    </row>
    <row r="888" spans="1:9" x14ac:dyDescent="0.2">
      <c r="A888" t="s">
        <v>2658</v>
      </c>
      <c r="B888">
        <v>1</v>
      </c>
      <c r="C888" t="s">
        <v>13</v>
      </c>
      <c r="D888" t="s">
        <v>2659</v>
      </c>
      <c r="E888" t="s">
        <v>2660</v>
      </c>
      <c r="F888" t="s">
        <v>207</v>
      </c>
      <c r="G888">
        <v>0</v>
      </c>
      <c r="H888">
        <f t="shared" si="26"/>
        <v>3</v>
      </c>
      <c r="I888" s="6">
        <f t="shared" si="27"/>
        <v>1</v>
      </c>
    </row>
    <row r="889" spans="1:9" x14ac:dyDescent="0.2">
      <c r="A889" t="s">
        <v>2661</v>
      </c>
      <c r="B889">
        <v>8</v>
      </c>
      <c r="C889" t="s">
        <v>22</v>
      </c>
      <c r="D889" t="s">
        <v>2662</v>
      </c>
      <c r="E889" t="s">
        <v>2663</v>
      </c>
      <c r="F889" t="s">
        <v>16</v>
      </c>
      <c r="G889">
        <v>0</v>
      </c>
      <c r="H889">
        <f t="shared" si="26"/>
        <v>5</v>
      </c>
      <c r="I889" s="6">
        <f t="shared" si="27"/>
        <v>0.6</v>
      </c>
    </row>
    <row r="890" spans="1:9" x14ac:dyDescent="0.2">
      <c r="A890" t="s">
        <v>2664</v>
      </c>
      <c r="B890">
        <v>9</v>
      </c>
      <c r="C890" t="s">
        <v>22</v>
      </c>
      <c r="D890" t="s">
        <v>2665</v>
      </c>
      <c r="E890" t="s">
        <v>2666</v>
      </c>
      <c r="F890" t="s">
        <v>221</v>
      </c>
      <c r="G890">
        <v>0</v>
      </c>
      <c r="H890">
        <f t="shared" si="26"/>
        <v>3</v>
      </c>
      <c r="I890" s="6">
        <f t="shared" si="27"/>
        <v>0.66666666666666663</v>
      </c>
    </row>
    <row r="891" spans="1:9" x14ac:dyDescent="0.2">
      <c r="A891" t="s">
        <v>2667</v>
      </c>
      <c r="B891">
        <v>1</v>
      </c>
      <c r="C891" t="s">
        <v>39</v>
      </c>
      <c r="D891" t="s">
        <v>2668</v>
      </c>
      <c r="E891" t="s">
        <v>2669</v>
      </c>
      <c r="F891" t="s">
        <v>25</v>
      </c>
      <c r="G891">
        <v>0</v>
      </c>
      <c r="H891">
        <f t="shared" si="26"/>
        <v>7</v>
      </c>
      <c r="I891" s="6">
        <f t="shared" si="27"/>
        <v>0.7142857142857143</v>
      </c>
    </row>
    <row r="892" spans="1:9" x14ac:dyDescent="0.2">
      <c r="A892" t="s">
        <v>2670</v>
      </c>
      <c r="B892">
        <v>5</v>
      </c>
      <c r="C892" t="s">
        <v>39</v>
      </c>
      <c r="D892" t="s">
        <v>2671</v>
      </c>
      <c r="E892" t="s">
        <v>2672</v>
      </c>
      <c r="F892" t="s">
        <v>211</v>
      </c>
      <c r="G892">
        <v>1</v>
      </c>
      <c r="H892">
        <f t="shared" si="26"/>
        <v>3</v>
      </c>
      <c r="I892" s="6">
        <f t="shared" si="27"/>
        <v>0.33333333333333331</v>
      </c>
    </row>
    <row r="893" spans="1:9" x14ac:dyDescent="0.2">
      <c r="A893" t="s">
        <v>2673</v>
      </c>
      <c r="B893">
        <v>10</v>
      </c>
      <c r="C893" t="s">
        <v>13</v>
      </c>
      <c r="D893" t="s">
        <v>2674</v>
      </c>
      <c r="E893" t="s">
        <v>2675</v>
      </c>
      <c r="F893" t="s">
        <v>42</v>
      </c>
      <c r="G893">
        <v>1</v>
      </c>
      <c r="H893">
        <f t="shared" si="26"/>
        <v>4</v>
      </c>
      <c r="I893" s="6">
        <f t="shared" si="27"/>
        <v>1</v>
      </c>
    </row>
    <row r="894" spans="1:9" x14ac:dyDescent="0.2">
      <c r="A894" t="s">
        <v>2676</v>
      </c>
      <c r="B894">
        <v>4</v>
      </c>
      <c r="C894" t="s">
        <v>80</v>
      </c>
      <c r="D894" t="s">
        <v>2677</v>
      </c>
      <c r="E894" t="s">
        <v>2678</v>
      </c>
      <c r="F894" t="s">
        <v>46</v>
      </c>
      <c r="G894">
        <v>1</v>
      </c>
      <c r="H894">
        <f t="shared" si="26"/>
        <v>3</v>
      </c>
      <c r="I894" s="6">
        <f t="shared" si="27"/>
        <v>0.66666666666666663</v>
      </c>
    </row>
    <row r="895" spans="1:9" x14ac:dyDescent="0.2">
      <c r="A895" t="s">
        <v>2679</v>
      </c>
      <c r="B895">
        <v>5</v>
      </c>
      <c r="C895" t="s">
        <v>39</v>
      </c>
      <c r="D895" t="s">
        <v>2680</v>
      </c>
      <c r="E895" t="s">
        <v>2681</v>
      </c>
      <c r="F895" t="s">
        <v>16</v>
      </c>
      <c r="G895">
        <v>1</v>
      </c>
      <c r="H895">
        <f t="shared" si="26"/>
        <v>5</v>
      </c>
      <c r="I895" s="6">
        <f t="shared" si="27"/>
        <v>0.6</v>
      </c>
    </row>
    <row r="896" spans="1:9" x14ac:dyDescent="0.2">
      <c r="A896" t="s">
        <v>2682</v>
      </c>
      <c r="B896">
        <v>7</v>
      </c>
      <c r="C896" t="s">
        <v>39</v>
      </c>
      <c r="D896" t="s">
        <v>2683</v>
      </c>
      <c r="E896" t="s">
        <v>2684</v>
      </c>
      <c r="F896" t="s">
        <v>29</v>
      </c>
      <c r="G896">
        <v>0</v>
      </c>
      <c r="H896">
        <f t="shared" si="26"/>
        <v>8</v>
      </c>
      <c r="I896" s="6">
        <f t="shared" si="27"/>
        <v>0.875</v>
      </c>
    </row>
    <row r="897" spans="1:9" x14ac:dyDescent="0.2">
      <c r="A897" t="s">
        <v>2685</v>
      </c>
      <c r="B897">
        <v>1</v>
      </c>
      <c r="C897" t="s">
        <v>22</v>
      </c>
      <c r="D897" t="s">
        <v>2686</v>
      </c>
      <c r="E897" t="s">
        <v>2687</v>
      </c>
      <c r="F897" t="s">
        <v>46</v>
      </c>
      <c r="G897">
        <v>1</v>
      </c>
      <c r="H897">
        <f t="shared" si="26"/>
        <v>3</v>
      </c>
      <c r="I897" s="6">
        <f t="shared" si="27"/>
        <v>0.66666666666666663</v>
      </c>
    </row>
    <row r="898" spans="1:9" x14ac:dyDescent="0.2">
      <c r="A898" t="s">
        <v>2688</v>
      </c>
      <c r="B898">
        <v>7</v>
      </c>
      <c r="C898" t="s">
        <v>80</v>
      </c>
      <c r="D898" t="s">
        <v>2689</v>
      </c>
      <c r="E898" t="s">
        <v>2690</v>
      </c>
      <c r="F898" t="s">
        <v>207</v>
      </c>
      <c r="G898">
        <v>1</v>
      </c>
      <c r="H898">
        <f t="shared" ref="H898:H961" si="28">COUNTIF($F$2:$F$100, F898)</f>
        <v>3</v>
      </c>
      <c r="I898" s="6">
        <f t="shared" ref="I898:I961" si="29">SUMIFS($G$2:$G$100, $F$2:$F$100, F898) / COUNTIF($F$2:$F$100, F898)</f>
        <v>1</v>
      </c>
    </row>
    <row r="899" spans="1:9" x14ac:dyDescent="0.2">
      <c r="A899" t="s">
        <v>2691</v>
      </c>
      <c r="B899">
        <v>10</v>
      </c>
      <c r="C899" t="s">
        <v>39</v>
      </c>
      <c r="D899" t="s">
        <v>2692</v>
      </c>
      <c r="E899" t="s">
        <v>2693</v>
      </c>
      <c r="F899" t="s">
        <v>72</v>
      </c>
      <c r="G899">
        <v>1</v>
      </c>
      <c r="H899">
        <f t="shared" si="28"/>
        <v>4</v>
      </c>
      <c r="I899" s="6">
        <f t="shared" si="29"/>
        <v>0.5</v>
      </c>
    </row>
    <row r="900" spans="1:9" x14ac:dyDescent="0.2">
      <c r="A900" t="s">
        <v>2694</v>
      </c>
      <c r="B900">
        <v>8</v>
      </c>
      <c r="C900" t="s">
        <v>13</v>
      </c>
      <c r="D900" t="s">
        <v>2695</v>
      </c>
      <c r="E900" t="s">
        <v>2696</v>
      </c>
      <c r="F900" t="s">
        <v>62</v>
      </c>
      <c r="G900">
        <v>0</v>
      </c>
      <c r="H900">
        <f t="shared" si="28"/>
        <v>6</v>
      </c>
      <c r="I900" s="6">
        <f t="shared" si="29"/>
        <v>0.5</v>
      </c>
    </row>
    <row r="901" spans="1:9" x14ac:dyDescent="0.2">
      <c r="A901" t="s">
        <v>2697</v>
      </c>
      <c r="B901">
        <v>9</v>
      </c>
      <c r="C901" t="s">
        <v>39</v>
      </c>
      <c r="D901" t="s">
        <v>2698</v>
      </c>
      <c r="E901" t="s">
        <v>2699</v>
      </c>
      <c r="F901" t="s">
        <v>58</v>
      </c>
      <c r="G901">
        <v>1</v>
      </c>
      <c r="H901">
        <f t="shared" si="28"/>
        <v>2</v>
      </c>
      <c r="I901" s="6">
        <f t="shared" si="29"/>
        <v>1</v>
      </c>
    </row>
    <row r="902" spans="1:9" x14ac:dyDescent="0.2">
      <c r="A902" t="s">
        <v>2700</v>
      </c>
      <c r="B902">
        <v>4</v>
      </c>
      <c r="C902" t="s">
        <v>39</v>
      </c>
      <c r="D902" t="s">
        <v>2701</v>
      </c>
      <c r="E902" t="s">
        <v>2702</v>
      </c>
      <c r="F902" t="s">
        <v>50</v>
      </c>
      <c r="G902">
        <v>1</v>
      </c>
      <c r="H902">
        <f t="shared" si="28"/>
        <v>2</v>
      </c>
      <c r="I902" s="6">
        <f t="shared" si="29"/>
        <v>0.5</v>
      </c>
    </row>
    <row r="903" spans="1:9" x14ac:dyDescent="0.2">
      <c r="A903" t="s">
        <v>2703</v>
      </c>
      <c r="B903">
        <v>2</v>
      </c>
      <c r="C903" t="s">
        <v>13</v>
      </c>
      <c r="D903" t="s">
        <v>2704</v>
      </c>
      <c r="E903" t="s">
        <v>2705</v>
      </c>
      <c r="F903" t="s">
        <v>42</v>
      </c>
      <c r="G903">
        <v>1</v>
      </c>
      <c r="H903">
        <f t="shared" si="28"/>
        <v>4</v>
      </c>
      <c r="I903" s="6">
        <f t="shared" si="29"/>
        <v>1</v>
      </c>
    </row>
    <row r="904" spans="1:9" x14ac:dyDescent="0.2">
      <c r="A904" t="s">
        <v>2706</v>
      </c>
      <c r="B904">
        <v>5</v>
      </c>
      <c r="C904" t="s">
        <v>13</v>
      </c>
      <c r="D904" t="s">
        <v>2707</v>
      </c>
      <c r="E904" t="s">
        <v>2708</v>
      </c>
      <c r="F904" t="s">
        <v>46</v>
      </c>
      <c r="G904">
        <v>1</v>
      </c>
      <c r="H904">
        <f t="shared" si="28"/>
        <v>3</v>
      </c>
      <c r="I904" s="6">
        <f t="shared" si="29"/>
        <v>0.66666666666666663</v>
      </c>
    </row>
    <row r="905" spans="1:9" x14ac:dyDescent="0.2">
      <c r="A905" t="s">
        <v>2709</v>
      </c>
      <c r="B905">
        <v>6</v>
      </c>
      <c r="C905" t="s">
        <v>13</v>
      </c>
      <c r="D905" t="s">
        <v>2710</v>
      </c>
      <c r="E905" t="s">
        <v>2711</v>
      </c>
      <c r="F905" t="s">
        <v>58</v>
      </c>
      <c r="G905">
        <v>1</v>
      </c>
      <c r="H905">
        <f t="shared" si="28"/>
        <v>2</v>
      </c>
      <c r="I905" s="6">
        <f t="shared" si="29"/>
        <v>1</v>
      </c>
    </row>
    <row r="906" spans="1:9" x14ac:dyDescent="0.2">
      <c r="A906" t="s">
        <v>2712</v>
      </c>
      <c r="B906">
        <v>6</v>
      </c>
      <c r="C906" t="s">
        <v>80</v>
      </c>
      <c r="D906" t="s">
        <v>2713</v>
      </c>
      <c r="E906" t="s">
        <v>2714</v>
      </c>
      <c r="F906" t="s">
        <v>108</v>
      </c>
      <c r="G906">
        <v>0</v>
      </c>
      <c r="H906">
        <f t="shared" si="28"/>
        <v>2</v>
      </c>
      <c r="I906" s="6">
        <f t="shared" si="29"/>
        <v>1</v>
      </c>
    </row>
    <row r="907" spans="1:9" x14ac:dyDescent="0.2">
      <c r="A907" t="s">
        <v>2715</v>
      </c>
      <c r="B907">
        <v>0</v>
      </c>
      <c r="C907" t="s">
        <v>22</v>
      </c>
      <c r="D907" t="s">
        <v>2716</v>
      </c>
      <c r="E907" t="s">
        <v>2717</v>
      </c>
      <c r="F907" t="s">
        <v>221</v>
      </c>
      <c r="G907">
        <v>1</v>
      </c>
      <c r="H907">
        <f t="shared" si="28"/>
        <v>3</v>
      </c>
      <c r="I907" s="6">
        <f t="shared" si="29"/>
        <v>0.66666666666666663</v>
      </c>
    </row>
    <row r="908" spans="1:9" x14ac:dyDescent="0.2">
      <c r="A908" t="s">
        <v>2718</v>
      </c>
      <c r="B908">
        <v>1</v>
      </c>
      <c r="C908" t="s">
        <v>8</v>
      </c>
      <c r="D908" t="s">
        <v>2719</v>
      </c>
      <c r="E908" t="s">
        <v>2720</v>
      </c>
      <c r="F908" t="s">
        <v>194</v>
      </c>
      <c r="G908">
        <v>1</v>
      </c>
      <c r="H908">
        <f t="shared" si="28"/>
        <v>3</v>
      </c>
      <c r="I908" s="6">
        <f t="shared" si="29"/>
        <v>1</v>
      </c>
    </row>
    <row r="909" spans="1:9" x14ac:dyDescent="0.2">
      <c r="A909" t="s">
        <v>2721</v>
      </c>
      <c r="B909">
        <v>8</v>
      </c>
      <c r="C909" t="s">
        <v>22</v>
      </c>
      <c r="D909" t="s">
        <v>2722</v>
      </c>
      <c r="E909" t="s">
        <v>2723</v>
      </c>
      <c r="F909" t="s">
        <v>62</v>
      </c>
      <c r="G909">
        <v>1</v>
      </c>
      <c r="H909">
        <f t="shared" si="28"/>
        <v>6</v>
      </c>
      <c r="I909" s="6">
        <f t="shared" si="29"/>
        <v>0.5</v>
      </c>
    </row>
    <row r="910" spans="1:9" x14ac:dyDescent="0.2">
      <c r="A910" t="s">
        <v>2724</v>
      </c>
      <c r="B910">
        <v>5</v>
      </c>
      <c r="C910" t="s">
        <v>39</v>
      </c>
      <c r="D910" t="s">
        <v>2725</v>
      </c>
      <c r="E910" t="s">
        <v>2726</v>
      </c>
      <c r="F910" t="s">
        <v>108</v>
      </c>
      <c r="G910">
        <v>0</v>
      </c>
      <c r="H910">
        <f t="shared" si="28"/>
        <v>2</v>
      </c>
      <c r="I910" s="6">
        <f t="shared" si="29"/>
        <v>1</v>
      </c>
    </row>
    <row r="911" spans="1:9" x14ac:dyDescent="0.2">
      <c r="A911" t="s">
        <v>2727</v>
      </c>
      <c r="B911">
        <v>1</v>
      </c>
      <c r="C911" t="s">
        <v>80</v>
      </c>
      <c r="D911" t="s">
        <v>2728</v>
      </c>
      <c r="E911" t="s">
        <v>2729</v>
      </c>
      <c r="F911" t="s">
        <v>62</v>
      </c>
      <c r="G911">
        <v>1</v>
      </c>
      <c r="H911">
        <f t="shared" si="28"/>
        <v>6</v>
      </c>
      <c r="I911" s="6">
        <f t="shared" si="29"/>
        <v>0.5</v>
      </c>
    </row>
    <row r="912" spans="1:9" x14ac:dyDescent="0.2">
      <c r="A912" t="s">
        <v>2730</v>
      </c>
      <c r="B912">
        <v>10</v>
      </c>
      <c r="C912" t="s">
        <v>80</v>
      </c>
      <c r="D912" t="s">
        <v>2731</v>
      </c>
      <c r="E912" t="s">
        <v>2732</v>
      </c>
      <c r="F912" t="s">
        <v>11</v>
      </c>
      <c r="G912">
        <v>0</v>
      </c>
      <c r="H912">
        <f t="shared" si="28"/>
        <v>4</v>
      </c>
      <c r="I912" s="6">
        <f t="shared" si="29"/>
        <v>0.5</v>
      </c>
    </row>
    <row r="913" spans="1:9" x14ac:dyDescent="0.2">
      <c r="A913" t="s">
        <v>2733</v>
      </c>
      <c r="B913">
        <v>5</v>
      </c>
      <c r="C913" t="s">
        <v>13</v>
      </c>
      <c r="D913" t="s">
        <v>2734</v>
      </c>
      <c r="E913" t="s">
        <v>2735</v>
      </c>
      <c r="F913" t="s">
        <v>194</v>
      </c>
      <c r="G913">
        <v>0</v>
      </c>
      <c r="H913">
        <f t="shared" si="28"/>
        <v>3</v>
      </c>
      <c r="I913" s="6">
        <f t="shared" si="29"/>
        <v>1</v>
      </c>
    </row>
    <row r="914" spans="1:9" x14ac:dyDescent="0.2">
      <c r="A914" t="s">
        <v>2736</v>
      </c>
      <c r="B914">
        <v>10</v>
      </c>
      <c r="C914" t="s">
        <v>13</v>
      </c>
      <c r="D914" t="s">
        <v>2737</v>
      </c>
      <c r="E914" t="s">
        <v>2738</v>
      </c>
      <c r="F914" t="s">
        <v>37</v>
      </c>
      <c r="G914">
        <v>0</v>
      </c>
      <c r="H914">
        <f t="shared" si="28"/>
        <v>8</v>
      </c>
      <c r="I914" s="6">
        <f t="shared" si="29"/>
        <v>0.625</v>
      </c>
    </row>
    <row r="915" spans="1:9" x14ac:dyDescent="0.2">
      <c r="A915" t="s">
        <v>2739</v>
      </c>
      <c r="B915">
        <v>6</v>
      </c>
      <c r="C915" t="s">
        <v>22</v>
      </c>
      <c r="D915" t="s">
        <v>2740</v>
      </c>
      <c r="E915" t="s">
        <v>2741</v>
      </c>
      <c r="F915" t="s">
        <v>72</v>
      </c>
      <c r="G915">
        <v>1</v>
      </c>
      <c r="H915">
        <f t="shared" si="28"/>
        <v>4</v>
      </c>
      <c r="I915" s="6">
        <f t="shared" si="29"/>
        <v>0.5</v>
      </c>
    </row>
    <row r="916" spans="1:9" x14ac:dyDescent="0.2">
      <c r="A916" t="s">
        <v>2742</v>
      </c>
      <c r="B916">
        <v>0</v>
      </c>
      <c r="C916" t="s">
        <v>39</v>
      </c>
      <c r="D916" t="s">
        <v>2743</v>
      </c>
      <c r="E916" t="s">
        <v>2744</v>
      </c>
      <c r="F916" t="s">
        <v>20</v>
      </c>
      <c r="G916">
        <v>1</v>
      </c>
      <c r="H916">
        <f t="shared" si="28"/>
        <v>8</v>
      </c>
      <c r="I916" s="6">
        <f t="shared" si="29"/>
        <v>0.5</v>
      </c>
    </row>
    <row r="917" spans="1:9" x14ac:dyDescent="0.2">
      <c r="A917" t="s">
        <v>2745</v>
      </c>
      <c r="B917">
        <v>7</v>
      </c>
      <c r="C917" t="s">
        <v>8</v>
      </c>
      <c r="D917" t="s">
        <v>2746</v>
      </c>
      <c r="E917" t="s">
        <v>2747</v>
      </c>
      <c r="F917" t="s">
        <v>54</v>
      </c>
      <c r="G917">
        <v>0</v>
      </c>
      <c r="H917">
        <f t="shared" si="28"/>
        <v>11</v>
      </c>
      <c r="I917" s="6">
        <f t="shared" si="29"/>
        <v>0.63636363636363635</v>
      </c>
    </row>
    <row r="918" spans="1:9" x14ac:dyDescent="0.2">
      <c r="A918" t="s">
        <v>2748</v>
      </c>
      <c r="B918">
        <v>4</v>
      </c>
      <c r="C918" t="s">
        <v>22</v>
      </c>
      <c r="D918" t="s">
        <v>2749</v>
      </c>
      <c r="E918" t="s">
        <v>2750</v>
      </c>
      <c r="F918" t="s">
        <v>62</v>
      </c>
      <c r="G918">
        <v>1</v>
      </c>
      <c r="H918">
        <f t="shared" si="28"/>
        <v>6</v>
      </c>
      <c r="I918" s="6">
        <f t="shared" si="29"/>
        <v>0.5</v>
      </c>
    </row>
    <row r="919" spans="1:9" x14ac:dyDescent="0.2">
      <c r="A919" t="s">
        <v>2751</v>
      </c>
      <c r="B919">
        <v>6</v>
      </c>
      <c r="C919" t="s">
        <v>8</v>
      </c>
      <c r="D919" t="s">
        <v>2752</v>
      </c>
      <c r="E919" t="s">
        <v>2753</v>
      </c>
      <c r="F919" t="s">
        <v>29</v>
      </c>
      <c r="G919">
        <v>0</v>
      </c>
      <c r="H919">
        <f t="shared" si="28"/>
        <v>8</v>
      </c>
      <c r="I919" s="6">
        <f t="shared" si="29"/>
        <v>0.875</v>
      </c>
    </row>
    <row r="920" spans="1:9" x14ac:dyDescent="0.2">
      <c r="A920" t="s">
        <v>2754</v>
      </c>
      <c r="B920">
        <v>6</v>
      </c>
      <c r="C920" t="s">
        <v>8</v>
      </c>
      <c r="D920" t="s">
        <v>2755</v>
      </c>
      <c r="E920" t="s">
        <v>2756</v>
      </c>
      <c r="F920" t="s">
        <v>207</v>
      </c>
      <c r="G920">
        <v>1</v>
      </c>
      <c r="H920">
        <f t="shared" si="28"/>
        <v>3</v>
      </c>
      <c r="I920" s="6">
        <f t="shared" si="29"/>
        <v>1</v>
      </c>
    </row>
    <row r="921" spans="1:9" x14ac:dyDescent="0.2">
      <c r="A921" t="s">
        <v>2757</v>
      </c>
      <c r="B921">
        <v>1</v>
      </c>
      <c r="C921" t="s">
        <v>22</v>
      </c>
      <c r="D921" t="s">
        <v>2758</v>
      </c>
      <c r="E921" t="s">
        <v>2759</v>
      </c>
      <c r="F921" t="s">
        <v>221</v>
      </c>
      <c r="G921">
        <v>1</v>
      </c>
      <c r="H921">
        <f t="shared" si="28"/>
        <v>3</v>
      </c>
      <c r="I921" s="6">
        <f t="shared" si="29"/>
        <v>0.66666666666666663</v>
      </c>
    </row>
    <row r="922" spans="1:9" x14ac:dyDescent="0.2">
      <c r="A922" t="s">
        <v>2760</v>
      </c>
      <c r="B922">
        <v>1</v>
      </c>
      <c r="C922" t="s">
        <v>80</v>
      </c>
      <c r="D922" t="s">
        <v>2761</v>
      </c>
      <c r="E922" t="s">
        <v>2762</v>
      </c>
      <c r="F922" t="s">
        <v>25</v>
      </c>
      <c r="G922">
        <v>1</v>
      </c>
      <c r="H922">
        <f t="shared" si="28"/>
        <v>7</v>
      </c>
      <c r="I922" s="6">
        <f t="shared" si="29"/>
        <v>0.7142857142857143</v>
      </c>
    </row>
    <row r="923" spans="1:9" x14ac:dyDescent="0.2">
      <c r="A923" t="s">
        <v>2763</v>
      </c>
      <c r="B923">
        <v>8</v>
      </c>
      <c r="C923" t="s">
        <v>13</v>
      </c>
      <c r="D923" t="s">
        <v>2764</v>
      </c>
      <c r="E923" t="s">
        <v>2765</v>
      </c>
      <c r="F923" t="s">
        <v>58</v>
      </c>
      <c r="G923">
        <v>1</v>
      </c>
      <c r="H923">
        <f t="shared" si="28"/>
        <v>2</v>
      </c>
      <c r="I923" s="6">
        <f t="shared" si="29"/>
        <v>1</v>
      </c>
    </row>
    <row r="924" spans="1:9" x14ac:dyDescent="0.2">
      <c r="A924" t="s">
        <v>2766</v>
      </c>
      <c r="B924">
        <v>3</v>
      </c>
      <c r="C924" t="s">
        <v>80</v>
      </c>
      <c r="D924" t="s">
        <v>2767</v>
      </c>
      <c r="E924" t="s">
        <v>2768</v>
      </c>
      <c r="F924" t="s">
        <v>194</v>
      </c>
      <c r="G924">
        <v>0</v>
      </c>
      <c r="H924">
        <f t="shared" si="28"/>
        <v>3</v>
      </c>
      <c r="I924" s="6">
        <f t="shared" si="29"/>
        <v>1</v>
      </c>
    </row>
    <row r="925" spans="1:9" x14ac:dyDescent="0.2">
      <c r="A925" t="s">
        <v>2769</v>
      </c>
      <c r="B925">
        <v>2</v>
      </c>
      <c r="C925" t="s">
        <v>22</v>
      </c>
      <c r="D925" t="s">
        <v>2770</v>
      </c>
      <c r="E925" t="s">
        <v>2771</v>
      </c>
      <c r="F925" t="s">
        <v>46</v>
      </c>
      <c r="G925">
        <v>1</v>
      </c>
      <c r="H925">
        <f t="shared" si="28"/>
        <v>3</v>
      </c>
      <c r="I925" s="6">
        <f t="shared" si="29"/>
        <v>0.66666666666666663</v>
      </c>
    </row>
    <row r="926" spans="1:9" x14ac:dyDescent="0.2">
      <c r="A926" t="s">
        <v>2772</v>
      </c>
      <c r="B926">
        <v>1</v>
      </c>
      <c r="C926" t="s">
        <v>80</v>
      </c>
      <c r="D926" t="s">
        <v>2773</v>
      </c>
      <c r="E926" t="s">
        <v>2774</v>
      </c>
      <c r="F926" t="s">
        <v>20</v>
      </c>
      <c r="G926">
        <v>1</v>
      </c>
      <c r="H926">
        <f t="shared" si="28"/>
        <v>8</v>
      </c>
      <c r="I926" s="6">
        <f t="shared" si="29"/>
        <v>0.5</v>
      </c>
    </row>
    <row r="927" spans="1:9" x14ac:dyDescent="0.2">
      <c r="A927" t="s">
        <v>2775</v>
      </c>
      <c r="B927">
        <v>4</v>
      </c>
      <c r="C927" t="s">
        <v>22</v>
      </c>
      <c r="D927" t="s">
        <v>2776</v>
      </c>
      <c r="E927" t="s">
        <v>2777</v>
      </c>
      <c r="F927" t="s">
        <v>11</v>
      </c>
      <c r="G927">
        <v>1</v>
      </c>
      <c r="H927">
        <f t="shared" si="28"/>
        <v>4</v>
      </c>
      <c r="I927" s="6">
        <f t="shared" si="29"/>
        <v>0.5</v>
      </c>
    </row>
    <row r="928" spans="1:9" x14ac:dyDescent="0.2">
      <c r="A928" t="s">
        <v>2778</v>
      </c>
      <c r="B928">
        <v>0</v>
      </c>
      <c r="C928" t="s">
        <v>8</v>
      </c>
      <c r="D928" t="s">
        <v>2779</v>
      </c>
      <c r="E928" t="s">
        <v>2780</v>
      </c>
      <c r="F928" t="s">
        <v>25</v>
      </c>
      <c r="G928">
        <v>1</v>
      </c>
      <c r="H928">
        <f t="shared" si="28"/>
        <v>7</v>
      </c>
      <c r="I928" s="6">
        <f t="shared" si="29"/>
        <v>0.7142857142857143</v>
      </c>
    </row>
    <row r="929" spans="1:9" x14ac:dyDescent="0.2">
      <c r="A929" t="s">
        <v>2781</v>
      </c>
      <c r="B929">
        <v>8</v>
      </c>
      <c r="C929" t="s">
        <v>22</v>
      </c>
      <c r="D929" t="s">
        <v>2782</v>
      </c>
      <c r="E929" t="s">
        <v>2783</v>
      </c>
      <c r="F929" t="s">
        <v>42</v>
      </c>
      <c r="G929">
        <v>0</v>
      </c>
      <c r="H929">
        <f t="shared" si="28"/>
        <v>4</v>
      </c>
      <c r="I929" s="6">
        <f t="shared" si="29"/>
        <v>1</v>
      </c>
    </row>
    <row r="930" spans="1:9" x14ac:dyDescent="0.2">
      <c r="A930" t="s">
        <v>2784</v>
      </c>
      <c r="B930">
        <v>7</v>
      </c>
      <c r="C930" t="s">
        <v>13</v>
      </c>
      <c r="D930" t="s">
        <v>2785</v>
      </c>
      <c r="E930" t="s">
        <v>2786</v>
      </c>
      <c r="F930" t="s">
        <v>37</v>
      </c>
      <c r="G930">
        <v>0</v>
      </c>
      <c r="H930">
        <f t="shared" si="28"/>
        <v>8</v>
      </c>
      <c r="I930" s="6">
        <f t="shared" si="29"/>
        <v>0.625</v>
      </c>
    </row>
    <row r="931" spans="1:9" x14ac:dyDescent="0.2">
      <c r="A931" t="s">
        <v>2787</v>
      </c>
      <c r="B931">
        <v>9</v>
      </c>
      <c r="C931" t="s">
        <v>22</v>
      </c>
      <c r="D931" t="s">
        <v>2788</v>
      </c>
      <c r="E931" t="s">
        <v>2789</v>
      </c>
      <c r="F931" t="s">
        <v>194</v>
      </c>
      <c r="G931">
        <v>0</v>
      </c>
      <c r="H931">
        <f t="shared" si="28"/>
        <v>3</v>
      </c>
      <c r="I931" s="6">
        <f t="shared" si="29"/>
        <v>1</v>
      </c>
    </row>
    <row r="932" spans="1:9" x14ac:dyDescent="0.2">
      <c r="A932" t="s">
        <v>2790</v>
      </c>
      <c r="B932">
        <v>9</v>
      </c>
      <c r="C932" t="s">
        <v>8</v>
      </c>
      <c r="D932" t="s">
        <v>2791</v>
      </c>
      <c r="E932" t="s">
        <v>2792</v>
      </c>
      <c r="F932" t="s">
        <v>11</v>
      </c>
      <c r="G932">
        <v>0</v>
      </c>
      <c r="H932">
        <f t="shared" si="28"/>
        <v>4</v>
      </c>
      <c r="I932" s="6">
        <f t="shared" si="29"/>
        <v>0.5</v>
      </c>
    </row>
    <row r="933" spans="1:9" x14ac:dyDescent="0.2">
      <c r="A933" t="s">
        <v>2793</v>
      </c>
      <c r="B933">
        <v>2</v>
      </c>
      <c r="C933" t="s">
        <v>39</v>
      </c>
      <c r="D933" t="s">
        <v>2794</v>
      </c>
      <c r="E933" t="s">
        <v>2795</v>
      </c>
      <c r="F933" t="s">
        <v>211</v>
      </c>
      <c r="G933">
        <v>0</v>
      </c>
      <c r="H933">
        <f t="shared" si="28"/>
        <v>3</v>
      </c>
      <c r="I933" s="6">
        <f t="shared" si="29"/>
        <v>0.33333333333333331</v>
      </c>
    </row>
    <row r="934" spans="1:9" x14ac:dyDescent="0.2">
      <c r="A934" t="s">
        <v>2796</v>
      </c>
      <c r="B934">
        <v>0</v>
      </c>
      <c r="C934" t="s">
        <v>8</v>
      </c>
      <c r="D934" t="s">
        <v>2797</v>
      </c>
      <c r="E934" t="s">
        <v>2798</v>
      </c>
      <c r="F934" t="s">
        <v>42</v>
      </c>
      <c r="G934">
        <v>0</v>
      </c>
      <c r="H934">
        <f t="shared" si="28"/>
        <v>4</v>
      </c>
      <c r="I934" s="6">
        <f t="shared" si="29"/>
        <v>1</v>
      </c>
    </row>
    <row r="935" spans="1:9" x14ac:dyDescent="0.2">
      <c r="A935" t="s">
        <v>2799</v>
      </c>
      <c r="B935">
        <v>3</v>
      </c>
      <c r="C935" t="s">
        <v>8</v>
      </c>
      <c r="D935" t="s">
        <v>2800</v>
      </c>
      <c r="E935" t="s">
        <v>2801</v>
      </c>
      <c r="F935" t="s">
        <v>11</v>
      </c>
      <c r="G935">
        <v>1</v>
      </c>
      <c r="H935">
        <f t="shared" si="28"/>
        <v>4</v>
      </c>
      <c r="I935" s="6">
        <f t="shared" si="29"/>
        <v>0.5</v>
      </c>
    </row>
    <row r="936" spans="1:9" x14ac:dyDescent="0.2">
      <c r="A936" t="s">
        <v>2802</v>
      </c>
      <c r="B936">
        <v>9</v>
      </c>
      <c r="C936" t="s">
        <v>22</v>
      </c>
      <c r="D936" t="s">
        <v>2803</v>
      </c>
      <c r="E936" t="s">
        <v>2804</v>
      </c>
      <c r="F936" t="s">
        <v>62</v>
      </c>
      <c r="G936">
        <v>1</v>
      </c>
      <c r="H936">
        <f t="shared" si="28"/>
        <v>6</v>
      </c>
      <c r="I936" s="6">
        <f t="shared" si="29"/>
        <v>0.5</v>
      </c>
    </row>
    <row r="937" spans="1:9" x14ac:dyDescent="0.2">
      <c r="A937" t="s">
        <v>2805</v>
      </c>
      <c r="B937">
        <v>10</v>
      </c>
      <c r="C937" t="s">
        <v>80</v>
      </c>
      <c r="D937" t="s">
        <v>2806</v>
      </c>
      <c r="E937" t="s">
        <v>2807</v>
      </c>
      <c r="F937" t="s">
        <v>20</v>
      </c>
      <c r="G937">
        <v>0</v>
      </c>
      <c r="H937">
        <f t="shared" si="28"/>
        <v>8</v>
      </c>
      <c r="I937" s="6">
        <f t="shared" si="29"/>
        <v>0.5</v>
      </c>
    </row>
    <row r="938" spans="1:9" x14ac:dyDescent="0.2">
      <c r="A938" t="s">
        <v>2808</v>
      </c>
      <c r="B938">
        <v>6</v>
      </c>
      <c r="C938" t="s">
        <v>80</v>
      </c>
      <c r="D938" t="s">
        <v>2809</v>
      </c>
      <c r="E938" t="s">
        <v>2210</v>
      </c>
      <c r="F938" t="s">
        <v>194</v>
      </c>
      <c r="G938">
        <v>1</v>
      </c>
      <c r="H938">
        <f t="shared" si="28"/>
        <v>3</v>
      </c>
      <c r="I938" s="6">
        <f t="shared" si="29"/>
        <v>1</v>
      </c>
    </row>
    <row r="939" spans="1:9" x14ac:dyDescent="0.2">
      <c r="A939" t="s">
        <v>2810</v>
      </c>
      <c r="B939">
        <v>6</v>
      </c>
      <c r="C939" t="s">
        <v>22</v>
      </c>
      <c r="D939" t="s">
        <v>2811</v>
      </c>
      <c r="E939" t="s">
        <v>2812</v>
      </c>
      <c r="F939" t="s">
        <v>58</v>
      </c>
      <c r="G939">
        <v>1</v>
      </c>
      <c r="H939">
        <f t="shared" si="28"/>
        <v>2</v>
      </c>
      <c r="I939" s="6">
        <f t="shared" si="29"/>
        <v>1</v>
      </c>
    </row>
    <row r="940" spans="1:9" x14ac:dyDescent="0.2">
      <c r="A940" t="s">
        <v>2813</v>
      </c>
      <c r="B940">
        <v>9</v>
      </c>
      <c r="C940" t="s">
        <v>80</v>
      </c>
      <c r="D940" t="s">
        <v>2814</v>
      </c>
      <c r="E940" t="s">
        <v>2815</v>
      </c>
      <c r="F940" t="s">
        <v>221</v>
      </c>
      <c r="G940">
        <v>1</v>
      </c>
      <c r="H940">
        <f t="shared" si="28"/>
        <v>3</v>
      </c>
      <c r="I940" s="6">
        <f t="shared" si="29"/>
        <v>0.66666666666666663</v>
      </c>
    </row>
    <row r="941" spans="1:9" x14ac:dyDescent="0.2">
      <c r="A941" t="s">
        <v>2816</v>
      </c>
      <c r="B941">
        <v>0</v>
      </c>
      <c r="C941" t="s">
        <v>13</v>
      </c>
      <c r="D941" t="s">
        <v>2817</v>
      </c>
      <c r="E941" t="s">
        <v>2818</v>
      </c>
      <c r="F941" t="s">
        <v>42</v>
      </c>
      <c r="G941">
        <v>0</v>
      </c>
      <c r="H941">
        <f t="shared" si="28"/>
        <v>4</v>
      </c>
      <c r="I941" s="6">
        <f t="shared" si="29"/>
        <v>1</v>
      </c>
    </row>
    <row r="942" spans="1:9" x14ac:dyDescent="0.2">
      <c r="A942" t="s">
        <v>2819</v>
      </c>
      <c r="B942">
        <v>4</v>
      </c>
      <c r="C942" t="s">
        <v>80</v>
      </c>
      <c r="D942" t="s">
        <v>2820</v>
      </c>
      <c r="E942" t="s">
        <v>2821</v>
      </c>
      <c r="F942" t="s">
        <v>104</v>
      </c>
      <c r="G942">
        <v>1</v>
      </c>
      <c r="H942">
        <f t="shared" si="28"/>
        <v>4</v>
      </c>
      <c r="I942" s="6">
        <f t="shared" si="29"/>
        <v>0.25</v>
      </c>
    </row>
    <row r="943" spans="1:9" x14ac:dyDescent="0.2">
      <c r="A943" t="s">
        <v>2822</v>
      </c>
      <c r="B943">
        <v>2</v>
      </c>
      <c r="C943" t="s">
        <v>22</v>
      </c>
      <c r="D943" t="s">
        <v>2823</v>
      </c>
      <c r="E943" t="s">
        <v>2824</v>
      </c>
      <c r="F943" t="s">
        <v>46</v>
      </c>
      <c r="G943">
        <v>1</v>
      </c>
      <c r="H943">
        <f t="shared" si="28"/>
        <v>3</v>
      </c>
      <c r="I943" s="6">
        <f t="shared" si="29"/>
        <v>0.66666666666666663</v>
      </c>
    </row>
    <row r="944" spans="1:9" x14ac:dyDescent="0.2">
      <c r="A944" t="s">
        <v>2825</v>
      </c>
      <c r="B944">
        <v>0</v>
      </c>
      <c r="C944" t="s">
        <v>80</v>
      </c>
      <c r="D944" t="s">
        <v>2826</v>
      </c>
      <c r="E944" t="s">
        <v>2827</v>
      </c>
      <c r="F944" t="s">
        <v>194</v>
      </c>
      <c r="G944">
        <v>0</v>
      </c>
      <c r="H944">
        <f t="shared" si="28"/>
        <v>3</v>
      </c>
      <c r="I944" s="6">
        <f t="shared" si="29"/>
        <v>1</v>
      </c>
    </row>
    <row r="945" spans="1:9" x14ac:dyDescent="0.2">
      <c r="A945" t="s">
        <v>2828</v>
      </c>
      <c r="B945">
        <v>0</v>
      </c>
      <c r="C945" t="s">
        <v>39</v>
      </c>
      <c r="D945" t="s">
        <v>2829</v>
      </c>
      <c r="E945" t="s">
        <v>2830</v>
      </c>
      <c r="F945" t="s">
        <v>16</v>
      </c>
      <c r="G945">
        <v>0</v>
      </c>
      <c r="H945">
        <f t="shared" si="28"/>
        <v>5</v>
      </c>
      <c r="I945" s="6">
        <f t="shared" si="29"/>
        <v>0.6</v>
      </c>
    </row>
    <row r="946" spans="1:9" x14ac:dyDescent="0.2">
      <c r="A946" t="s">
        <v>2831</v>
      </c>
      <c r="B946">
        <v>1</v>
      </c>
      <c r="C946" t="s">
        <v>22</v>
      </c>
      <c r="D946" t="s">
        <v>2832</v>
      </c>
      <c r="E946" t="s">
        <v>2833</v>
      </c>
      <c r="F946" t="s">
        <v>108</v>
      </c>
      <c r="G946">
        <v>1</v>
      </c>
      <c r="H946">
        <f t="shared" si="28"/>
        <v>2</v>
      </c>
      <c r="I946" s="6">
        <f t="shared" si="29"/>
        <v>1</v>
      </c>
    </row>
    <row r="947" spans="1:9" x14ac:dyDescent="0.2">
      <c r="A947" t="s">
        <v>2834</v>
      </c>
      <c r="B947">
        <v>0</v>
      </c>
      <c r="C947" t="s">
        <v>13</v>
      </c>
      <c r="D947" t="s">
        <v>2835</v>
      </c>
      <c r="E947" t="s">
        <v>2836</v>
      </c>
      <c r="F947" t="s">
        <v>211</v>
      </c>
      <c r="G947">
        <v>1</v>
      </c>
      <c r="H947">
        <f t="shared" si="28"/>
        <v>3</v>
      </c>
      <c r="I947" s="6">
        <f t="shared" si="29"/>
        <v>0.33333333333333331</v>
      </c>
    </row>
    <row r="948" spans="1:9" x14ac:dyDescent="0.2">
      <c r="A948" t="s">
        <v>2837</v>
      </c>
      <c r="B948">
        <v>5</v>
      </c>
      <c r="C948" t="s">
        <v>13</v>
      </c>
      <c r="D948" t="s">
        <v>2838</v>
      </c>
      <c r="E948" t="s">
        <v>2839</v>
      </c>
      <c r="F948" t="s">
        <v>194</v>
      </c>
      <c r="G948">
        <v>1</v>
      </c>
      <c r="H948">
        <f t="shared" si="28"/>
        <v>3</v>
      </c>
      <c r="I948" s="6">
        <f t="shared" si="29"/>
        <v>1</v>
      </c>
    </row>
    <row r="949" spans="1:9" x14ac:dyDescent="0.2">
      <c r="A949" t="s">
        <v>2840</v>
      </c>
      <c r="B949">
        <v>8</v>
      </c>
      <c r="C949" t="s">
        <v>13</v>
      </c>
      <c r="D949" t="s">
        <v>2841</v>
      </c>
      <c r="E949" t="s">
        <v>2842</v>
      </c>
      <c r="F949" t="s">
        <v>58</v>
      </c>
      <c r="G949">
        <v>0</v>
      </c>
      <c r="H949">
        <f t="shared" si="28"/>
        <v>2</v>
      </c>
      <c r="I949" s="6">
        <f t="shared" si="29"/>
        <v>1</v>
      </c>
    </row>
    <row r="950" spans="1:9" x14ac:dyDescent="0.2">
      <c r="A950" t="s">
        <v>2843</v>
      </c>
      <c r="B950">
        <v>5</v>
      </c>
      <c r="C950" t="s">
        <v>39</v>
      </c>
      <c r="D950" t="s">
        <v>2844</v>
      </c>
      <c r="E950" t="s">
        <v>2845</v>
      </c>
      <c r="F950" t="s">
        <v>37</v>
      </c>
      <c r="G950">
        <v>1</v>
      </c>
      <c r="H950">
        <f t="shared" si="28"/>
        <v>8</v>
      </c>
      <c r="I950" s="6">
        <f t="shared" si="29"/>
        <v>0.625</v>
      </c>
    </row>
    <row r="951" spans="1:9" x14ac:dyDescent="0.2">
      <c r="A951" t="s">
        <v>2846</v>
      </c>
      <c r="B951">
        <v>3</v>
      </c>
      <c r="C951" t="s">
        <v>8</v>
      </c>
      <c r="D951" t="s">
        <v>2847</v>
      </c>
      <c r="E951" t="s">
        <v>2848</v>
      </c>
      <c r="F951" t="s">
        <v>72</v>
      </c>
      <c r="G951">
        <v>0</v>
      </c>
      <c r="H951">
        <f t="shared" si="28"/>
        <v>4</v>
      </c>
      <c r="I951" s="6">
        <f t="shared" si="29"/>
        <v>0.5</v>
      </c>
    </row>
    <row r="952" spans="1:9" x14ac:dyDescent="0.2">
      <c r="A952" t="s">
        <v>2849</v>
      </c>
      <c r="B952">
        <v>9</v>
      </c>
      <c r="C952" t="s">
        <v>13</v>
      </c>
      <c r="D952" t="s">
        <v>2850</v>
      </c>
      <c r="E952" t="s">
        <v>2851</v>
      </c>
      <c r="F952" t="s">
        <v>37</v>
      </c>
      <c r="G952">
        <v>0</v>
      </c>
      <c r="H952">
        <f t="shared" si="28"/>
        <v>8</v>
      </c>
      <c r="I952" s="6">
        <f t="shared" si="29"/>
        <v>0.625</v>
      </c>
    </row>
    <row r="953" spans="1:9" x14ac:dyDescent="0.2">
      <c r="A953" t="s">
        <v>2852</v>
      </c>
      <c r="B953">
        <v>6</v>
      </c>
      <c r="C953" t="s">
        <v>22</v>
      </c>
      <c r="D953" t="s">
        <v>2853</v>
      </c>
      <c r="E953" t="s">
        <v>2854</v>
      </c>
      <c r="F953" t="s">
        <v>54</v>
      </c>
      <c r="G953">
        <v>1</v>
      </c>
      <c r="H953">
        <f t="shared" si="28"/>
        <v>11</v>
      </c>
      <c r="I953" s="6">
        <f t="shared" si="29"/>
        <v>0.63636363636363635</v>
      </c>
    </row>
    <row r="954" spans="1:9" x14ac:dyDescent="0.2">
      <c r="A954" t="s">
        <v>2855</v>
      </c>
      <c r="B954">
        <v>4</v>
      </c>
      <c r="C954" t="s">
        <v>80</v>
      </c>
      <c r="D954" t="s">
        <v>2856</v>
      </c>
      <c r="E954" t="s">
        <v>2857</v>
      </c>
      <c r="F954" t="s">
        <v>72</v>
      </c>
      <c r="G954">
        <v>1</v>
      </c>
      <c r="H954">
        <f t="shared" si="28"/>
        <v>4</v>
      </c>
      <c r="I954" s="6">
        <f t="shared" si="29"/>
        <v>0.5</v>
      </c>
    </row>
    <row r="955" spans="1:9" x14ac:dyDescent="0.2">
      <c r="A955" t="s">
        <v>2858</v>
      </c>
      <c r="B955">
        <v>1</v>
      </c>
      <c r="C955" t="s">
        <v>13</v>
      </c>
      <c r="D955" t="s">
        <v>2859</v>
      </c>
      <c r="E955" t="s">
        <v>2860</v>
      </c>
      <c r="F955" t="s">
        <v>42</v>
      </c>
      <c r="G955">
        <v>0</v>
      </c>
      <c r="H955">
        <f t="shared" si="28"/>
        <v>4</v>
      </c>
      <c r="I955" s="6">
        <f t="shared" si="29"/>
        <v>1</v>
      </c>
    </row>
    <row r="956" spans="1:9" x14ac:dyDescent="0.2">
      <c r="A956" t="s">
        <v>2861</v>
      </c>
      <c r="B956">
        <v>2</v>
      </c>
      <c r="C956" t="s">
        <v>80</v>
      </c>
      <c r="D956" t="s">
        <v>2862</v>
      </c>
      <c r="E956" t="s">
        <v>2863</v>
      </c>
      <c r="F956" t="s">
        <v>33</v>
      </c>
      <c r="G956">
        <v>1</v>
      </c>
      <c r="H956">
        <f t="shared" si="28"/>
        <v>4</v>
      </c>
      <c r="I956" s="6">
        <f t="shared" si="29"/>
        <v>0.5</v>
      </c>
    </row>
    <row r="957" spans="1:9" x14ac:dyDescent="0.2">
      <c r="A957" t="s">
        <v>2864</v>
      </c>
      <c r="B957">
        <v>10</v>
      </c>
      <c r="C957" t="s">
        <v>22</v>
      </c>
      <c r="D957" t="s">
        <v>2865</v>
      </c>
      <c r="E957" t="s">
        <v>2866</v>
      </c>
      <c r="F957" t="s">
        <v>207</v>
      </c>
      <c r="G957">
        <v>1</v>
      </c>
      <c r="H957">
        <f t="shared" si="28"/>
        <v>3</v>
      </c>
      <c r="I957" s="6">
        <f t="shared" si="29"/>
        <v>1</v>
      </c>
    </row>
    <row r="958" spans="1:9" x14ac:dyDescent="0.2">
      <c r="A958" t="s">
        <v>2867</v>
      </c>
      <c r="B958">
        <v>3</v>
      </c>
      <c r="C958" t="s">
        <v>80</v>
      </c>
      <c r="D958" t="s">
        <v>2868</v>
      </c>
      <c r="E958" t="s">
        <v>2869</v>
      </c>
      <c r="F958" t="s">
        <v>108</v>
      </c>
      <c r="G958">
        <v>0</v>
      </c>
      <c r="H958">
        <f t="shared" si="28"/>
        <v>2</v>
      </c>
      <c r="I958" s="6">
        <f t="shared" si="29"/>
        <v>1</v>
      </c>
    </row>
    <row r="959" spans="1:9" x14ac:dyDescent="0.2">
      <c r="A959" t="s">
        <v>2870</v>
      </c>
      <c r="B959">
        <v>6</v>
      </c>
      <c r="C959" t="s">
        <v>22</v>
      </c>
      <c r="D959" t="s">
        <v>2871</v>
      </c>
      <c r="E959" t="s">
        <v>2872</v>
      </c>
      <c r="F959" t="s">
        <v>142</v>
      </c>
      <c r="G959">
        <v>0</v>
      </c>
      <c r="H959">
        <f t="shared" si="28"/>
        <v>5</v>
      </c>
      <c r="I959" s="6">
        <f t="shared" si="29"/>
        <v>0.4</v>
      </c>
    </row>
    <row r="960" spans="1:9" x14ac:dyDescent="0.2">
      <c r="A960" t="s">
        <v>2873</v>
      </c>
      <c r="B960">
        <v>8</v>
      </c>
      <c r="C960" t="s">
        <v>39</v>
      </c>
      <c r="D960" t="s">
        <v>2874</v>
      </c>
      <c r="E960" t="s">
        <v>2875</v>
      </c>
      <c r="F960" t="s">
        <v>58</v>
      </c>
      <c r="G960">
        <v>0</v>
      </c>
      <c r="H960">
        <f t="shared" si="28"/>
        <v>2</v>
      </c>
      <c r="I960" s="6">
        <f t="shared" si="29"/>
        <v>1</v>
      </c>
    </row>
    <row r="961" spans="1:9" x14ac:dyDescent="0.2">
      <c r="A961" t="s">
        <v>2876</v>
      </c>
      <c r="B961">
        <v>2</v>
      </c>
      <c r="C961" t="s">
        <v>13</v>
      </c>
      <c r="D961" t="s">
        <v>2877</v>
      </c>
      <c r="E961" t="s">
        <v>2878</v>
      </c>
      <c r="F961" t="s">
        <v>33</v>
      </c>
      <c r="G961">
        <v>1</v>
      </c>
      <c r="H961">
        <f t="shared" si="28"/>
        <v>4</v>
      </c>
      <c r="I961" s="6">
        <f t="shared" si="29"/>
        <v>0.5</v>
      </c>
    </row>
    <row r="962" spans="1:9" x14ac:dyDescent="0.2">
      <c r="A962" t="s">
        <v>2879</v>
      </c>
      <c r="B962">
        <v>0</v>
      </c>
      <c r="C962" t="s">
        <v>80</v>
      </c>
      <c r="D962" t="s">
        <v>2880</v>
      </c>
      <c r="E962" t="s">
        <v>2881</v>
      </c>
      <c r="F962" t="s">
        <v>29</v>
      </c>
      <c r="G962">
        <v>1</v>
      </c>
      <c r="H962">
        <f t="shared" ref="H962:H1000" si="30">COUNTIF($F$2:$F$100, F962)</f>
        <v>8</v>
      </c>
      <c r="I962" s="6">
        <f t="shared" ref="I962:I1000" si="31">SUMIFS($G$2:$G$100, $F$2:$F$100, F962) / COUNTIF($F$2:$F$100, F962)</f>
        <v>0.875</v>
      </c>
    </row>
    <row r="963" spans="1:9" x14ac:dyDescent="0.2">
      <c r="A963" t="s">
        <v>2882</v>
      </c>
      <c r="B963">
        <v>7</v>
      </c>
      <c r="C963" t="s">
        <v>80</v>
      </c>
      <c r="D963" t="s">
        <v>2883</v>
      </c>
      <c r="E963" t="s">
        <v>2884</v>
      </c>
      <c r="F963" t="s">
        <v>104</v>
      </c>
      <c r="G963">
        <v>1</v>
      </c>
      <c r="H963">
        <f t="shared" si="30"/>
        <v>4</v>
      </c>
      <c r="I963" s="6">
        <f t="shared" si="31"/>
        <v>0.25</v>
      </c>
    </row>
    <row r="964" spans="1:9" x14ac:dyDescent="0.2">
      <c r="A964" t="s">
        <v>2885</v>
      </c>
      <c r="B964">
        <v>4</v>
      </c>
      <c r="C964" t="s">
        <v>80</v>
      </c>
      <c r="D964" t="s">
        <v>2886</v>
      </c>
      <c r="E964" t="s">
        <v>2887</v>
      </c>
      <c r="F964" t="s">
        <v>42</v>
      </c>
      <c r="G964">
        <v>1</v>
      </c>
      <c r="H964">
        <f t="shared" si="30"/>
        <v>4</v>
      </c>
      <c r="I964" s="6">
        <f t="shared" si="31"/>
        <v>1</v>
      </c>
    </row>
    <row r="965" spans="1:9" x14ac:dyDescent="0.2">
      <c r="A965" t="s">
        <v>2888</v>
      </c>
      <c r="B965">
        <v>1</v>
      </c>
      <c r="C965" t="s">
        <v>8</v>
      </c>
      <c r="D965" t="s">
        <v>2889</v>
      </c>
      <c r="E965" t="s">
        <v>2890</v>
      </c>
      <c r="F965" t="s">
        <v>211</v>
      </c>
      <c r="G965">
        <v>0</v>
      </c>
      <c r="H965">
        <f t="shared" si="30"/>
        <v>3</v>
      </c>
      <c r="I965" s="6">
        <f t="shared" si="31"/>
        <v>0.33333333333333331</v>
      </c>
    </row>
    <row r="966" spans="1:9" x14ac:dyDescent="0.2">
      <c r="A966" t="s">
        <v>2891</v>
      </c>
      <c r="B966">
        <v>10</v>
      </c>
      <c r="C966" t="s">
        <v>80</v>
      </c>
      <c r="D966" t="s">
        <v>2892</v>
      </c>
      <c r="E966" t="s">
        <v>2893</v>
      </c>
      <c r="F966" t="s">
        <v>194</v>
      </c>
      <c r="G966">
        <v>1</v>
      </c>
      <c r="H966">
        <f t="shared" si="30"/>
        <v>3</v>
      </c>
      <c r="I966" s="6">
        <f t="shared" si="31"/>
        <v>1</v>
      </c>
    </row>
    <row r="967" spans="1:9" x14ac:dyDescent="0.2">
      <c r="A967" t="s">
        <v>2894</v>
      </c>
      <c r="B967">
        <v>8</v>
      </c>
      <c r="C967" t="s">
        <v>39</v>
      </c>
      <c r="D967" t="s">
        <v>2895</v>
      </c>
      <c r="E967" t="s">
        <v>2896</v>
      </c>
      <c r="F967" t="s">
        <v>25</v>
      </c>
      <c r="G967">
        <v>1</v>
      </c>
      <c r="H967">
        <f t="shared" si="30"/>
        <v>7</v>
      </c>
      <c r="I967" s="6">
        <f t="shared" si="31"/>
        <v>0.7142857142857143</v>
      </c>
    </row>
    <row r="968" spans="1:9" x14ac:dyDescent="0.2">
      <c r="A968" t="s">
        <v>2897</v>
      </c>
      <c r="B968">
        <v>3</v>
      </c>
      <c r="C968" t="s">
        <v>13</v>
      </c>
      <c r="D968" t="s">
        <v>2898</v>
      </c>
      <c r="E968" t="s">
        <v>2156</v>
      </c>
      <c r="F968" t="s">
        <v>104</v>
      </c>
      <c r="G968">
        <v>1</v>
      </c>
      <c r="H968">
        <f t="shared" si="30"/>
        <v>4</v>
      </c>
      <c r="I968" s="6">
        <f t="shared" si="31"/>
        <v>0.25</v>
      </c>
    </row>
    <row r="969" spans="1:9" x14ac:dyDescent="0.2">
      <c r="A969" t="s">
        <v>2899</v>
      </c>
      <c r="B969">
        <v>10</v>
      </c>
      <c r="C969" t="s">
        <v>13</v>
      </c>
      <c r="D969" t="s">
        <v>2900</v>
      </c>
      <c r="E969" t="s">
        <v>2901</v>
      </c>
      <c r="F969" t="s">
        <v>20</v>
      </c>
      <c r="G969">
        <v>1</v>
      </c>
      <c r="H969">
        <f t="shared" si="30"/>
        <v>8</v>
      </c>
      <c r="I969" s="6">
        <f t="shared" si="31"/>
        <v>0.5</v>
      </c>
    </row>
    <row r="970" spans="1:9" x14ac:dyDescent="0.2">
      <c r="A970" t="s">
        <v>2902</v>
      </c>
      <c r="B970">
        <v>1</v>
      </c>
      <c r="C970" t="s">
        <v>13</v>
      </c>
      <c r="D970" t="s">
        <v>2903</v>
      </c>
      <c r="E970" t="s">
        <v>2904</v>
      </c>
      <c r="F970" t="s">
        <v>58</v>
      </c>
      <c r="G970">
        <v>0</v>
      </c>
      <c r="H970">
        <f t="shared" si="30"/>
        <v>2</v>
      </c>
      <c r="I970" s="6">
        <f t="shared" si="31"/>
        <v>1</v>
      </c>
    </row>
    <row r="971" spans="1:9" x14ac:dyDescent="0.2">
      <c r="A971" t="s">
        <v>2905</v>
      </c>
      <c r="B971">
        <v>7</v>
      </c>
      <c r="C971" t="s">
        <v>13</v>
      </c>
      <c r="D971" t="s">
        <v>2906</v>
      </c>
      <c r="E971" t="s">
        <v>2907</v>
      </c>
      <c r="F971" t="s">
        <v>194</v>
      </c>
      <c r="G971">
        <v>1</v>
      </c>
      <c r="H971">
        <f t="shared" si="30"/>
        <v>3</v>
      </c>
      <c r="I971" s="6">
        <f t="shared" si="31"/>
        <v>1</v>
      </c>
    </row>
    <row r="972" spans="1:9" x14ac:dyDescent="0.2">
      <c r="A972" t="s">
        <v>2908</v>
      </c>
      <c r="B972">
        <v>2</v>
      </c>
      <c r="C972" t="s">
        <v>13</v>
      </c>
      <c r="D972" t="s">
        <v>2909</v>
      </c>
      <c r="E972" t="s">
        <v>2910</v>
      </c>
      <c r="F972" t="s">
        <v>108</v>
      </c>
      <c r="G972">
        <v>1</v>
      </c>
      <c r="H972">
        <f t="shared" si="30"/>
        <v>2</v>
      </c>
      <c r="I972" s="6">
        <f t="shared" si="31"/>
        <v>1</v>
      </c>
    </row>
    <row r="973" spans="1:9" x14ac:dyDescent="0.2">
      <c r="A973" t="s">
        <v>2911</v>
      </c>
      <c r="B973">
        <v>0</v>
      </c>
      <c r="C973" t="s">
        <v>8</v>
      </c>
      <c r="D973" t="s">
        <v>2912</v>
      </c>
      <c r="E973" t="s">
        <v>2913</v>
      </c>
      <c r="F973" t="s">
        <v>104</v>
      </c>
      <c r="G973">
        <v>0</v>
      </c>
      <c r="H973">
        <f t="shared" si="30"/>
        <v>4</v>
      </c>
      <c r="I973" s="6">
        <f t="shared" si="31"/>
        <v>0.25</v>
      </c>
    </row>
    <row r="974" spans="1:9" x14ac:dyDescent="0.2">
      <c r="A974" t="s">
        <v>2914</v>
      </c>
      <c r="B974">
        <v>0</v>
      </c>
      <c r="C974" t="s">
        <v>13</v>
      </c>
      <c r="D974" t="s">
        <v>2915</v>
      </c>
      <c r="E974" t="s">
        <v>2916</v>
      </c>
      <c r="F974" t="s">
        <v>221</v>
      </c>
      <c r="G974">
        <v>1</v>
      </c>
      <c r="H974">
        <f t="shared" si="30"/>
        <v>3</v>
      </c>
      <c r="I974" s="6">
        <f t="shared" si="31"/>
        <v>0.66666666666666663</v>
      </c>
    </row>
    <row r="975" spans="1:9" x14ac:dyDescent="0.2">
      <c r="A975" t="s">
        <v>2917</v>
      </c>
      <c r="B975">
        <v>10</v>
      </c>
      <c r="C975" t="s">
        <v>80</v>
      </c>
      <c r="D975" t="s">
        <v>2918</v>
      </c>
      <c r="E975" t="s">
        <v>2919</v>
      </c>
      <c r="F975" t="s">
        <v>29</v>
      </c>
      <c r="G975">
        <v>1</v>
      </c>
      <c r="H975">
        <f t="shared" si="30"/>
        <v>8</v>
      </c>
      <c r="I975" s="6">
        <f t="shared" si="31"/>
        <v>0.875</v>
      </c>
    </row>
    <row r="976" spans="1:9" x14ac:dyDescent="0.2">
      <c r="A976" t="s">
        <v>2920</v>
      </c>
      <c r="B976">
        <v>7</v>
      </c>
      <c r="C976" t="s">
        <v>22</v>
      </c>
      <c r="D976" t="s">
        <v>2921</v>
      </c>
      <c r="E976" t="s">
        <v>2922</v>
      </c>
      <c r="F976" t="s">
        <v>20</v>
      </c>
      <c r="G976">
        <v>1</v>
      </c>
      <c r="H976">
        <f t="shared" si="30"/>
        <v>8</v>
      </c>
      <c r="I976" s="6">
        <f t="shared" si="31"/>
        <v>0.5</v>
      </c>
    </row>
    <row r="977" spans="1:9" x14ac:dyDescent="0.2">
      <c r="A977" t="s">
        <v>2923</v>
      </c>
      <c r="B977">
        <v>1</v>
      </c>
      <c r="C977" t="s">
        <v>80</v>
      </c>
      <c r="D977" t="s">
        <v>2924</v>
      </c>
      <c r="E977" t="s">
        <v>2925</v>
      </c>
      <c r="F977" t="s">
        <v>108</v>
      </c>
      <c r="G977">
        <v>1</v>
      </c>
      <c r="H977">
        <f t="shared" si="30"/>
        <v>2</v>
      </c>
      <c r="I977" s="6">
        <f t="shared" si="31"/>
        <v>1</v>
      </c>
    </row>
    <row r="978" spans="1:9" x14ac:dyDescent="0.2">
      <c r="A978" t="s">
        <v>2926</v>
      </c>
      <c r="B978">
        <v>0</v>
      </c>
      <c r="C978" t="s">
        <v>8</v>
      </c>
      <c r="D978" t="s">
        <v>2927</v>
      </c>
      <c r="E978" t="s">
        <v>2928</v>
      </c>
      <c r="F978" t="s">
        <v>211</v>
      </c>
      <c r="G978">
        <v>1</v>
      </c>
      <c r="H978">
        <f t="shared" si="30"/>
        <v>3</v>
      </c>
      <c r="I978" s="6">
        <f t="shared" si="31"/>
        <v>0.33333333333333331</v>
      </c>
    </row>
    <row r="979" spans="1:9" x14ac:dyDescent="0.2">
      <c r="A979" t="s">
        <v>2929</v>
      </c>
      <c r="B979">
        <v>6</v>
      </c>
      <c r="C979" t="s">
        <v>13</v>
      </c>
      <c r="D979" t="s">
        <v>2930</v>
      </c>
      <c r="E979" t="s">
        <v>2931</v>
      </c>
      <c r="F979" t="s">
        <v>108</v>
      </c>
      <c r="G979">
        <v>0</v>
      </c>
      <c r="H979">
        <f t="shared" si="30"/>
        <v>2</v>
      </c>
      <c r="I979" s="6">
        <f t="shared" si="31"/>
        <v>1</v>
      </c>
    </row>
    <row r="980" spans="1:9" x14ac:dyDescent="0.2">
      <c r="A980" t="s">
        <v>2932</v>
      </c>
      <c r="B980">
        <v>7</v>
      </c>
      <c r="C980" t="s">
        <v>22</v>
      </c>
      <c r="D980" t="s">
        <v>2933</v>
      </c>
      <c r="E980" t="s">
        <v>2934</v>
      </c>
      <c r="F980" t="s">
        <v>25</v>
      </c>
      <c r="G980">
        <v>1</v>
      </c>
      <c r="H980">
        <f t="shared" si="30"/>
        <v>7</v>
      </c>
      <c r="I980" s="6">
        <f t="shared" si="31"/>
        <v>0.7142857142857143</v>
      </c>
    </row>
    <row r="981" spans="1:9" x14ac:dyDescent="0.2">
      <c r="A981" t="s">
        <v>2935</v>
      </c>
      <c r="B981">
        <v>3</v>
      </c>
      <c r="C981" t="s">
        <v>39</v>
      </c>
      <c r="D981" t="s">
        <v>2936</v>
      </c>
      <c r="E981" t="s">
        <v>2937</v>
      </c>
      <c r="F981" t="s">
        <v>29</v>
      </c>
      <c r="G981">
        <v>1</v>
      </c>
      <c r="H981">
        <f t="shared" si="30"/>
        <v>8</v>
      </c>
      <c r="I981" s="6">
        <f t="shared" si="31"/>
        <v>0.875</v>
      </c>
    </row>
    <row r="982" spans="1:9" x14ac:dyDescent="0.2">
      <c r="A982" t="s">
        <v>2938</v>
      </c>
      <c r="B982">
        <v>4</v>
      </c>
      <c r="C982" t="s">
        <v>39</v>
      </c>
      <c r="D982" t="s">
        <v>2939</v>
      </c>
      <c r="E982" t="s">
        <v>2940</v>
      </c>
      <c r="F982" t="s">
        <v>46</v>
      </c>
      <c r="G982">
        <v>1</v>
      </c>
      <c r="H982">
        <f t="shared" si="30"/>
        <v>3</v>
      </c>
      <c r="I982" s="6">
        <f t="shared" si="31"/>
        <v>0.66666666666666663</v>
      </c>
    </row>
    <row r="983" spans="1:9" x14ac:dyDescent="0.2">
      <c r="A983" t="s">
        <v>2941</v>
      </c>
      <c r="B983">
        <v>7</v>
      </c>
      <c r="C983" t="s">
        <v>13</v>
      </c>
      <c r="D983" t="s">
        <v>2942</v>
      </c>
      <c r="E983" t="s">
        <v>2943</v>
      </c>
      <c r="F983" t="s">
        <v>42</v>
      </c>
      <c r="G983">
        <v>1</v>
      </c>
      <c r="H983">
        <f t="shared" si="30"/>
        <v>4</v>
      </c>
      <c r="I983" s="6">
        <f t="shared" si="31"/>
        <v>1</v>
      </c>
    </row>
    <row r="984" spans="1:9" x14ac:dyDescent="0.2">
      <c r="A984" t="s">
        <v>2944</v>
      </c>
      <c r="B984">
        <v>1</v>
      </c>
      <c r="C984" t="s">
        <v>13</v>
      </c>
      <c r="D984" t="s">
        <v>2945</v>
      </c>
      <c r="E984" t="s">
        <v>2946</v>
      </c>
      <c r="F984" t="s">
        <v>37</v>
      </c>
      <c r="G984">
        <v>0</v>
      </c>
      <c r="H984">
        <f t="shared" si="30"/>
        <v>8</v>
      </c>
      <c r="I984" s="6">
        <f t="shared" si="31"/>
        <v>0.625</v>
      </c>
    </row>
    <row r="985" spans="1:9" x14ac:dyDescent="0.2">
      <c r="A985" t="s">
        <v>2947</v>
      </c>
      <c r="B985">
        <v>0</v>
      </c>
      <c r="C985" t="s">
        <v>8</v>
      </c>
      <c r="D985" t="s">
        <v>2948</v>
      </c>
      <c r="E985" t="s">
        <v>2949</v>
      </c>
      <c r="F985" t="s">
        <v>25</v>
      </c>
      <c r="G985">
        <v>1</v>
      </c>
      <c r="H985">
        <f t="shared" si="30"/>
        <v>7</v>
      </c>
      <c r="I985" s="6">
        <f t="shared" si="31"/>
        <v>0.7142857142857143</v>
      </c>
    </row>
    <row r="986" spans="1:9" x14ac:dyDescent="0.2">
      <c r="A986" t="s">
        <v>2950</v>
      </c>
      <c r="B986">
        <v>2</v>
      </c>
      <c r="C986" t="s">
        <v>22</v>
      </c>
      <c r="D986" t="s">
        <v>2951</v>
      </c>
      <c r="E986" t="s">
        <v>2952</v>
      </c>
      <c r="F986" t="s">
        <v>20</v>
      </c>
      <c r="G986">
        <v>0</v>
      </c>
      <c r="H986">
        <f t="shared" si="30"/>
        <v>8</v>
      </c>
      <c r="I986" s="6">
        <f t="shared" si="31"/>
        <v>0.5</v>
      </c>
    </row>
    <row r="987" spans="1:9" x14ac:dyDescent="0.2">
      <c r="A987" t="s">
        <v>2953</v>
      </c>
      <c r="B987">
        <v>3</v>
      </c>
      <c r="C987" t="s">
        <v>39</v>
      </c>
      <c r="D987" t="s">
        <v>2954</v>
      </c>
      <c r="E987" t="s">
        <v>2955</v>
      </c>
      <c r="F987" t="s">
        <v>25</v>
      </c>
      <c r="G987">
        <v>0</v>
      </c>
      <c r="H987">
        <f t="shared" si="30"/>
        <v>7</v>
      </c>
      <c r="I987" s="6">
        <f t="shared" si="31"/>
        <v>0.7142857142857143</v>
      </c>
    </row>
    <row r="988" spans="1:9" x14ac:dyDescent="0.2">
      <c r="A988" t="s">
        <v>2956</v>
      </c>
      <c r="B988">
        <v>8</v>
      </c>
      <c r="C988" t="s">
        <v>80</v>
      </c>
      <c r="D988" t="s">
        <v>2957</v>
      </c>
      <c r="E988" t="s">
        <v>2958</v>
      </c>
      <c r="F988" t="s">
        <v>42</v>
      </c>
      <c r="G988">
        <v>1</v>
      </c>
      <c r="H988">
        <f t="shared" si="30"/>
        <v>4</v>
      </c>
      <c r="I988" s="6">
        <f t="shared" si="31"/>
        <v>1</v>
      </c>
    </row>
    <row r="989" spans="1:9" x14ac:dyDescent="0.2">
      <c r="A989" t="s">
        <v>2959</v>
      </c>
      <c r="B989">
        <v>9</v>
      </c>
      <c r="C989" t="s">
        <v>8</v>
      </c>
      <c r="D989" t="s">
        <v>2960</v>
      </c>
      <c r="E989" t="s">
        <v>2961</v>
      </c>
      <c r="F989" t="s">
        <v>42</v>
      </c>
      <c r="G989">
        <v>1</v>
      </c>
      <c r="H989">
        <f t="shared" si="30"/>
        <v>4</v>
      </c>
      <c r="I989" s="6">
        <f t="shared" si="31"/>
        <v>1</v>
      </c>
    </row>
    <row r="990" spans="1:9" x14ac:dyDescent="0.2">
      <c r="A990" t="s">
        <v>2962</v>
      </c>
      <c r="B990">
        <v>3</v>
      </c>
      <c r="C990" t="s">
        <v>80</v>
      </c>
      <c r="D990" t="s">
        <v>2963</v>
      </c>
      <c r="E990" t="s">
        <v>2964</v>
      </c>
      <c r="F990" t="s">
        <v>104</v>
      </c>
      <c r="G990">
        <v>1</v>
      </c>
      <c r="H990">
        <f t="shared" si="30"/>
        <v>4</v>
      </c>
      <c r="I990" s="6">
        <f t="shared" si="31"/>
        <v>0.25</v>
      </c>
    </row>
    <row r="991" spans="1:9" x14ac:dyDescent="0.2">
      <c r="A991" t="s">
        <v>2965</v>
      </c>
      <c r="B991">
        <v>11</v>
      </c>
      <c r="C991" t="s">
        <v>8</v>
      </c>
      <c r="D991" t="s">
        <v>2966</v>
      </c>
      <c r="E991" t="s">
        <v>2967</v>
      </c>
      <c r="F991" t="s">
        <v>42</v>
      </c>
      <c r="G991">
        <v>0</v>
      </c>
      <c r="H991">
        <f t="shared" si="30"/>
        <v>4</v>
      </c>
      <c r="I991" s="6">
        <f t="shared" si="31"/>
        <v>1</v>
      </c>
    </row>
    <row r="992" spans="1:9" x14ac:dyDescent="0.2">
      <c r="A992" t="s">
        <v>2968</v>
      </c>
      <c r="B992">
        <v>5</v>
      </c>
      <c r="C992" t="s">
        <v>39</v>
      </c>
      <c r="D992" t="s">
        <v>2969</v>
      </c>
      <c r="E992" t="s">
        <v>2970</v>
      </c>
      <c r="F992" t="s">
        <v>37</v>
      </c>
      <c r="G992">
        <v>1</v>
      </c>
      <c r="H992">
        <f t="shared" si="30"/>
        <v>8</v>
      </c>
      <c r="I992" s="6">
        <f t="shared" si="31"/>
        <v>0.625</v>
      </c>
    </row>
    <row r="993" spans="1:9" x14ac:dyDescent="0.2">
      <c r="A993" t="s">
        <v>2971</v>
      </c>
      <c r="B993">
        <v>9</v>
      </c>
      <c r="C993" t="s">
        <v>13</v>
      </c>
      <c r="D993" t="s">
        <v>2972</v>
      </c>
      <c r="E993" t="s">
        <v>2973</v>
      </c>
      <c r="F993" t="s">
        <v>33</v>
      </c>
      <c r="G993">
        <v>1</v>
      </c>
      <c r="H993">
        <f t="shared" si="30"/>
        <v>4</v>
      </c>
      <c r="I993" s="6">
        <f t="shared" si="31"/>
        <v>0.5</v>
      </c>
    </row>
    <row r="994" spans="1:9" x14ac:dyDescent="0.2">
      <c r="A994" t="s">
        <v>2974</v>
      </c>
      <c r="B994">
        <v>8</v>
      </c>
      <c r="C994" t="s">
        <v>13</v>
      </c>
      <c r="D994" t="s">
        <v>2975</v>
      </c>
      <c r="E994" t="s">
        <v>2976</v>
      </c>
      <c r="F994" t="s">
        <v>42</v>
      </c>
      <c r="G994">
        <v>1</v>
      </c>
      <c r="H994">
        <f t="shared" si="30"/>
        <v>4</v>
      </c>
      <c r="I994" s="6">
        <f t="shared" si="31"/>
        <v>1</v>
      </c>
    </row>
    <row r="995" spans="1:9" x14ac:dyDescent="0.2">
      <c r="A995" t="s">
        <v>2977</v>
      </c>
      <c r="B995">
        <v>1</v>
      </c>
      <c r="C995" t="s">
        <v>22</v>
      </c>
      <c r="D995" t="s">
        <v>2978</v>
      </c>
      <c r="E995" t="s">
        <v>2979</v>
      </c>
      <c r="F995" t="s">
        <v>46</v>
      </c>
      <c r="G995">
        <v>1</v>
      </c>
      <c r="H995">
        <f t="shared" si="30"/>
        <v>3</v>
      </c>
      <c r="I995" s="6">
        <f t="shared" si="31"/>
        <v>0.66666666666666663</v>
      </c>
    </row>
    <row r="996" spans="1:9" x14ac:dyDescent="0.2">
      <c r="A996" t="s">
        <v>2980</v>
      </c>
      <c r="B996">
        <v>3</v>
      </c>
      <c r="C996" t="s">
        <v>13</v>
      </c>
      <c r="D996" t="s">
        <v>2981</v>
      </c>
      <c r="E996" t="s">
        <v>2982</v>
      </c>
      <c r="F996" t="s">
        <v>58</v>
      </c>
      <c r="G996">
        <v>1</v>
      </c>
      <c r="H996">
        <f t="shared" si="30"/>
        <v>2</v>
      </c>
      <c r="I996" s="6">
        <f t="shared" si="31"/>
        <v>1</v>
      </c>
    </row>
    <row r="997" spans="1:9" x14ac:dyDescent="0.2">
      <c r="A997" t="s">
        <v>2983</v>
      </c>
      <c r="B997">
        <v>1</v>
      </c>
      <c r="C997" t="s">
        <v>39</v>
      </c>
      <c r="D997" t="s">
        <v>2984</v>
      </c>
      <c r="E997" t="s">
        <v>2985</v>
      </c>
      <c r="F997" t="s">
        <v>46</v>
      </c>
      <c r="G997">
        <v>1</v>
      </c>
      <c r="H997">
        <f t="shared" si="30"/>
        <v>3</v>
      </c>
      <c r="I997" s="6">
        <f t="shared" si="31"/>
        <v>0.66666666666666663</v>
      </c>
    </row>
    <row r="998" spans="1:9" x14ac:dyDescent="0.2">
      <c r="A998" t="s">
        <v>2986</v>
      </c>
      <c r="B998">
        <v>5</v>
      </c>
      <c r="C998" t="s">
        <v>8</v>
      </c>
      <c r="D998" t="s">
        <v>2987</v>
      </c>
      <c r="E998" t="s">
        <v>2988</v>
      </c>
      <c r="F998" t="s">
        <v>221</v>
      </c>
      <c r="G998">
        <v>1</v>
      </c>
      <c r="H998">
        <f t="shared" si="30"/>
        <v>3</v>
      </c>
      <c r="I998" s="6">
        <f t="shared" si="31"/>
        <v>0.66666666666666663</v>
      </c>
    </row>
    <row r="999" spans="1:9" x14ac:dyDescent="0.2">
      <c r="A999" t="s">
        <v>2989</v>
      </c>
      <c r="B999">
        <v>10</v>
      </c>
      <c r="C999" t="s">
        <v>8</v>
      </c>
      <c r="D999" t="s">
        <v>2990</v>
      </c>
      <c r="E999" t="s">
        <v>2693</v>
      </c>
      <c r="F999" t="s">
        <v>72</v>
      </c>
      <c r="G999">
        <v>0</v>
      </c>
      <c r="H999">
        <f t="shared" si="30"/>
        <v>4</v>
      </c>
      <c r="I999" s="6">
        <f t="shared" si="31"/>
        <v>0.5</v>
      </c>
    </row>
    <row r="1000" spans="1:9" x14ac:dyDescent="0.2">
      <c r="A1000" t="s">
        <v>2991</v>
      </c>
      <c r="B1000">
        <v>10</v>
      </c>
      <c r="C1000" t="s">
        <v>13</v>
      </c>
      <c r="D1000" t="s">
        <v>2992</v>
      </c>
      <c r="E1000" t="s">
        <v>2993</v>
      </c>
      <c r="F1000" t="s">
        <v>42</v>
      </c>
      <c r="G1000">
        <v>1</v>
      </c>
      <c r="H1000">
        <f t="shared" si="30"/>
        <v>4</v>
      </c>
      <c r="I1000" s="6">
        <f t="shared" si="31"/>
        <v>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Sheet3</vt:lpstr>
      <vt:lpstr>Sheet4</vt:lpstr>
      <vt:lpstr>sample_candidates_enhanced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2274802010644 - TRẦN TẤN PHÁT - 71K28CNTT04</cp:lastModifiedBy>
  <dcterms:created xsi:type="dcterms:W3CDTF">2025-10-17T00:30:43Z</dcterms:created>
  <dcterms:modified xsi:type="dcterms:W3CDTF">2025-10-20T05:06:18Z</dcterms:modified>
</cp:coreProperties>
</file>